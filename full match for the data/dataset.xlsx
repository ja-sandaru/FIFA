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24519"/>
</workbook>
</file>

<file path=xl/calcChain.xml><?xml version="1.0" encoding="utf-8"?>
<calcChain xmlns="http://schemas.openxmlformats.org/spreadsheetml/2006/main">
  <c r="I322" i="1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21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257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194"/>
  <c r="I19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30"/>
  <c r="I131"/>
  <c r="I132"/>
  <c r="I133"/>
  <c r="I129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66"/>
  <c r="I65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3"/>
  <c r="I4"/>
  <c r="I5"/>
  <c r="I6"/>
  <c r="I2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21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258"/>
  <c r="H259"/>
  <c r="H260"/>
  <c r="H257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193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29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66"/>
  <c r="H67"/>
  <c r="H68"/>
  <c r="H69"/>
  <c r="H70"/>
  <c r="H65"/>
  <c r="H50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1"/>
  <c r="H52"/>
  <c r="H53"/>
  <c r="H54"/>
  <c r="H55"/>
  <c r="H56"/>
  <c r="H57"/>
  <c r="H58"/>
  <c r="H59"/>
  <c r="H60"/>
  <c r="H61"/>
  <c r="H62"/>
  <c r="H63"/>
  <c r="H64"/>
  <c r="H2"/>
  <c r="G2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21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271"/>
  <c r="G272"/>
  <c r="G273"/>
  <c r="G274"/>
  <c r="G258"/>
  <c r="G259"/>
  <c r="G260"/>
  <c r="G261"/>
  <c r="G262"/>
  <c r="G263"/>
  <c r="G264"/>
  <c r="G265"/>
  <c r="G266"/>
  <c r="G267"/>
  <c r="G268"/>
  <c r="G269"/>
  <c r="G270"/>
  <c r="G257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193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29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65"/>
  <c r="F65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22"/>
  <c r="G23"/>
  <c r="G9"/>
  <c r="G10"/>
  <c r="G11"/>
  <c r="G12"/>
  <c r="G13"/>
  <c r="G14"/>
  <c r="G15"/>
  <c r="G16"/>
  <c r="G17"/>
  <c r="G18"/>
  <c r="G19"/>
  <c r="G20"/>
  <c r="G3"/>
  <c r="G4"/>
  <c r="G5"/>
  <c r="G6"/>
  <c r="G7"/>
  <c r="G8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28"/>
  <c r="F29"/>
  <c r="F30"/>
  <c r="F31"/>
  <c r="F32"/>
  <c r="F33"/>
  <c r="F34"/>
  <c r="F35"/>
  <c r="F36"/>
  <c r="F37"/>
  <c r="F38"/>
  <c r="F39"/>
  <c r="F22"/>
  <c r="F23"/>
  <c r="F24"/>
  <c r="F25"/>
  <c r="F26"/>
  <c r="F27"/>
  <c r="F3"/>
  <c r="F4"/>
  <c r="F5"/>
  <c r="F6"/>
  <c r="F7"/>
  <c r="F8"/>
  <c r="F9"/>
  <c r="F10"/>
  <c r="F11"/>
  <c r="F12"/>
  <c r="F13"/>
  <c r="F14"/>
  <c r="F15"/>
  <c r="F16"/>
  <c r="F17"/>
  <c r="F18"/>
  <c r="F19"/>
  <c r="F20"/>
  <c r="F2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22"/>
  <c r="F323"/>
  <c r="F321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257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193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29"/>
  <c r="F128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N324"/>
  <c r="N325"/>
  <c r="N326"/>
  <c r="N327"/>
  <c r="N328"/>
  <c r="N329"/>
  <c r="N330"/>
  <c r="N331"/>
  <c r="N332"/>
  <c r="N333"/>
  <c r="N334"/>
  <c r="O322"/>
  <c r="O323"/>
  <c r="O321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257"/>
  <c r="O256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193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29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6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3"/>
  <c r="O4"/>
  <c r="O5"/>
  <c r="O6"/>
  <c r="O2"/>
  <c r="N322"/>
  <c r="N323"/>
  <c r="N321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258"/>
  <c r="N259"/>
  <c r="N25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05"/>
  <c r="N206"/>
  <c r="N207"/>
  <c r="N198"/>
  <c r="N199"/>
  <c r="N200"/>
  <c r="N201"/>
  <c r="N202"/>
  <c r="N203"/>
  <c r="N204"/>
  <c r="N194"/>
  <c r="N195"/>
  <c r="N196"/>
  <c r="N197"/>
  <c r="N193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29"/>
  <c r="N128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75"/>
  <c r="N66"/>
  <c r="N67"/>
  <c r="N68"/>
  <c r="N69"/>
  <c r="N70"/>
  <c r="N71"/>
  <c r="N72"/>
  <c r="N73"/>
  <c r="N74"/>
  <c r="N65"/>
  <c r="N64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12"/>
  <c r="N13"/>
  <c r="N14"/>
  <c r="N15"/>
  <c r="N4"/>
  <c r="N5"/>
  <c r="N6"/>
  <c r="N7"/>
  <c r="N8"/>
  <c r="N9"/>
  <c r="N10"/>
  <c r="N11"/>
  <c r="N3"/>
  <c r="N2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21"/>
  <c r="D320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257"/>
  <c r="E256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257"/>
  <c r="D256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193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192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29"/>
  <c r="E128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29"/>
  <c r="D128"/>
  <c r="E89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65"/>
  <c r="E64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65"/>
  <c r="D64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2"/>
</calcChain>
</file>

<file path=xl/sharedStrings.xml><?xml version="1.0" encoding="utf-8"?>
<sst xmlns="http://schemas.openxmlformats.org/spreadsheetml/2006/main" count="1164" uniqueCount="459">
  <si>
    <t>Match</t>
  </si>
  <si>
    <t>Team1</t>
  </si>
  <si>
    <t>Team2</t>
  </si>
  <si>
    <t>Team1_rank</t>
  </si>
  <si>
    <t>Team2_rank</t>
  </si>
  <si>
    <t>Team1_Recent_form</t>
  </si>
  <si>
    <t>Team2_Recent_form</t>
  </si>
  <si>
    <t>Team1_Result</t>
  </si>
  <si>
    <t>2002FrancevsSenagal</t>
  </si>
  <si>
    <t>France</t>
  </si>
  <si>
    <t>Senegal</t>
  </si>
  <si>
    <t>Uruguay</t>
  </si>
  <si>
    <t>Denmark</t>
  </si>
  <si>
    <t>2002FrancevsUruguay</t>
  </si>
  <si>
    <t>2002DenmarkvsSenegal</t>
  </si>
  <si>
    <t>2002UruguayvsDenmark</t>
  </si>
  <si>
    <t>2002DenmarkvsFrance</t>
  </si>
  <si>
    <t>2002SenegalvsUruguay</t>
  </si>
  <si>
    <t>2002ParaguayvsSouthAffrica</t>
  </si>
  <si>
    <t>Paraguay</t>
  </si>
  <si>
    <t>South Africa</t>
  </si>
  <si>
    <t>2002SpainvsSlovenia</t>
  </si>
  <si>
    <t>Spain</t>
  </si>
  <si>
    <t>Slovenia</t>
  </si>
  <si>
    <t>2002SpainvsSParaguay</t>
  </si>
  <si>
    <t>2002SfvsSlo</t>
  </si>
  <si>
    <t>2002SfvsSpin</t>
  </si>
  <si>
    <t>2002Slovspara</t>
  </si>
  <si>
    <t>2002BravsTur</t>
  </si>
  <si>
    <t>Brazil</t>
  </si>
  <si>
    <t>Turkey</t>
  </si>
  <si>
    <t>2002ChinavsCoRi</t>
  </si>
  <si>
    <t>China</t>
  </si>
  <si>
    <t>Costa Rica</t>
  </si>
  <si>
    <t>2002BravsChi</t>
  </si>
  <si>
    <t>2002CoRavsTur</t>
  </si>
  <si>
    <t>2002CoRavsBra</t>
  </si>
  <si>
    <t>2002TurvsChina</t>
  </si>
  <si>
    <t>2002SKvspol</t>
  </si>
  <si>
    <t>South Korea</t>
  </si>
  <si>
    <t>Poland</t>
  </si>
  <si>
    <t>2002USvsPor</t>
  </si>
  <si>
    <t>United States</t>
  </si>
  <si>
    <t>Portugal</t>
  </si>
  <si>
    <t>2002SkvsUs</t>
  </si>
  <si>
    <t>United states</t>
  </si>
  <si>
    <t>2002PorvsPol</t>
  </si>
  <si>
    <t>2002PolvsUS</t>
  </si>
  <si>
    <t>Team1_Star_Player_Count</t>
  </si>
  <si>
    <t>Team1_Top100_players</t>
  </si>
  <si>
    <t>Team2_Star_Player_Count</t>
  </si>
  <si>
    <t>Team2_Top100_players</t>
  </si>
  <si>
    <t>2002IrdvsCame</t>
  </si>
  <si>
    <t>Ireland</t>
  </si>
  <si>
    <t>Cameroon</t>
  </si>
  <si>
    <t>2002GervsSa</t>
  </si>
  <si>
    <t>Germany</t>
  </si>
  <si>
    <t>Saudi arabia</t>
  </si>
  <si>
    <t>2002GenvaIrd</t>
  </si>
  <si>
    <t>2002CamvsSa</t>
  </si>
  <si>
    <t>2002CamvsGen</t>
  </si>
  <si>
    <t>2002SAvsIrd</t>
  </si>
  <si>
    <t>2002ArgvsNig</t>
  </si>
  <si>
    <t>Argentina</t>
  </si>
  <si>
    <t>Nigeria</t>
  </si>
  <si>
    <t>2002EngvsSwe</t>
  </si>
  <si>
    <t>England</t>
  </si>
  <si>
    <t>Sweden</t>
  </si>
  <si>
    <t>2002SewvsNig</t>
  </si>
  <si>
    <t>2002ArgvsEng</t>
  </si>
  <si>
    <t>2002SwevsArg</t>
  </si>
  <si>
    <t>2002NigvsEng</t>
  </si>
  <si>
    <t>2002CrovsMex</t>
  </si>
  <si>
    <t>Croatia</t>
  </si>
  <si>
    <t>Mexico</t>
  </si>
  <si>
    <t>2002ItavsEcu</t>
  </si>
  <si>
    <t>Italy</t>
  </si>
  <si>
    <t>Ecuador</t>
  </si>
  <si>
    <t>2002ItavsCro</t>
  </si>
  <si>
    <t>2002MexvsEcu</t>
  </si>
  <si>
    <t>2002MexvsIta</t>
  </si>
  <si>
    <t>2002EcuvsCroatia</t>
  </si>
  <si>
    <t>2002JapvsBel</t>
  </si>
  <si>
    <t>Japan</t>
  </si>
  <si>
    <t>Belgium</t>
  </si>
  <si>
    <t>2002RusvsTun</t>
  </si>
  <si>
    <t>Russia</t>
  </si>
  <si>
    <t>Tunisia</t>
  </si>
  <si>
    <t>2002japvsRus</t>
  </si>
  <si>
    <t>2002TunvsBel</t>
  </si>
  <si>
    <t>2002TunvsJpa</t>
  </si>
  <si>
    <t>2002BelvsRussia</t>
  </si>
  <si>
    <t>2002GenvsPara</t>
  </si>
  <si>
    <t>2002MexvsUs</t>
  </si>
  <si>
    <t>2002SpavsIrd</t>
  </si>
  <si>
    <t>2002SkvsIta</t>
  </si>
  <si>
    <t>2002DenvsEng</t>
  </si>
  <si>
    <t>2002BravsBel</t>
  </si>
  <si>
    <t>2002SewvsSen</t>
  </si>
  <si>
    <t>2002JapvsTur</t>
  </si>
  <si>
    <t>2002GenvsUS</t>
  </si>
  <si>
    <t>2002SpavsSk</t>
  </si>
  <si>
    <t>2002EngvsBra</t>
  </si>
  <si>
    <t>2002SenvsTur</t>
  </si>
  <si>
    <t>2002GenvsSk</t>
  </si>
  <si>
    <t>2002Final_GenvsBra</t>
  </si>
  <si>
    <t>2002SkvsTur</t>
  </si>
  <si>
    <t>2006GervsCoRi</t>
  </si>
  <si>
    <t>2006PolvsRcu</t>
  </si>
  <si>
    <t>2006GervsPol</t>
  </si>
  <si>
    <t>2006EcuvsCoRi</t>
  </si>
  <si>
    <t>2006EcuvsGer</t>
  </si>
  <si>
    <t>2006CoRivsPol</t>
  </si>
  <si>
    <t>2006EngvsPar</t>
  </si>
  <si>
    <t>2006TruTivsSew</t>
  </si>
  <si>
    <t>Trinidad</t>
  </si>
  <si>
    <t>2006EngvsTrito</t>
  </si>
  <si>
    <t>2006SwevsEng</t>
  </si>
  <si>
    <t>2006paravsTrinidad</t>
  </si>
  <si>
    <t>2006ArgvsLoco</t>
  </si>
  <si>
    <t>Ivory Coast</t>
  </si>
  <si>
    <t>2006SeMonvsNet</t>
  </si>
  <si>
    <t>Serbia</t>
  </si>
  <si>
    <t>Netherlands</t>
  </si>
  <si>
    <t>2006ArgvsSeMon</t>
  </si>
  <si>
    <t>2006NethvsIvCo</t>
  </si>
  <si>
    <t>2006NethvsArg</t>
  </si>
  <si>
    <t>2006IvoCovsSer</t>
  </si>
  <si>
    <t>2006MexvsIrn</t>
  </si>
  <si>
    <t>Iran</t>
  </si>
  <si>
    <t>2006AngvsPor</t>
  </si>
  <si>
    <t>Angola</t>
  </si>
  <si>
    <t>2006mexvsAng</t>
  </si>
  <si>
    <t>2006PorvsIrn</t>
  </si>
  <si>
    <t>2006PorvsMex</t>
  </si>
  <si>
    <t>2006IrnvsAng</t>
  </si>
  <si>
    <t>2006UnvsCze</t>
  </si>
  <si>
    <t>Czech</t>
  </si>
  <si>
    <t>2006ItavsGha</t>
  </si>
  <si>
    <t>Ghana</t>
  </si>
  <si>
    <t>2006CzevsGha</t>
  </si>
  <si>
    <t>2006ItavsUs</t>
  </si>
  <si>
    <t>2006CzevsIta</t>
  </si>
  <si>
    <t>2006GhavsUs</t>
  </si>
  <si>
    <t>2006AusvsJap</t>
  </si>
  <si>
    <t>Australia</t>
  </si>
  <si>
    <t>2006BravsCro</t>
  </si>
  <si>
    <t>2006JapvsCro</t>
  </si>
  <si>
    <t>2006bravsAus</t>
  </si>
  <si>
    <t>2006JapvsBra</t>
  </si>
  <si>
    <t>2006CrvsAus</t>
  </si>
  <si>
    <t>2006SkvsTo</t>
  </si>
  <si>
    <t>Togo</t>
  </si>
  <si>
    <t>2006FravsSwi</t>
  </si>
  <si>
    <t>Switzerland</t>
  </si>
  <si>
    <t>2006FravsSk</t>
  </si>
  <si>
    <t>2006TovsSwi</t>
  </si>
  <si>
    <t>2006TovaFra</t>
  </si>
  <si>
    <t>2006SwivsSk</t>
  </si>
  <si>
    <t>2006SpavsUk</t>
  </si>
  <si>
    <t>Ukraine</t>
  </si>
  <si>
    <t>2006TunvsSa</t>
  </si>
  <si>
    <t>2006SAvsUk</t>
  </si>
  <si>
    <t>2006SpavsTun</t>
  </si>
  <si>
    <t>2006SAvspai</t>
  </si>
  <si>
    <t>2006UkvsTun</t>
  </si>
  <si>
    <t>2006GervsSWe</t>
  </si>
  <si>
    <t>2006ArgvsMex</t>
  </si>
  <si>
    <t>2006ItavsAus</t>
  </si>
  <si>
    <t>2006SwivsUK</t>
  </si>
  <si>
    <t>2006EngvsEcu</t>
  </si>
  <si>
    <t>2006PorvsNeth</t>
  </si>
  <si>
    <t>2006BravsGha</t>
  </si>
  <si>
    <t>2006SpavsFra</t>
  </si>
  <si>
    <t>2006GervsArg</t>
  </si>
  <si>
    <t>2006ItavsUk</t>
  </si>
  <si>
    <t>2006EngvsPor</t>
  </si>
  <si>
    <t>2006BravsFra</t>
  </si>
  <si>
    <t>2006GervsIta</t>
  </si>
  <si>
    <t>2006PorvsFra</t>
  </si>
  <si>
    <t>2006Final_ItavsFra</t>
  </si>
  <si>
    <t>2006GervsPor</t>
  </si>
  <si>
    <t>Team1_goalkeeper_rank</t>
  </si>
  <si>
    <t>Team2_goalkeeper_rank</t>
  </si>
  <si>
    <t>2010SFvsMex</t>
  </si>
  <si>
    <t>2010UrgvsFra</t>
  </si>
  <si>
    <t>2010SFvsUrg</t>
  </si>
  <si>
    <t>2010FravsMex</t>
  </si>
  <si>
    <t>2010MexvsUrg</t>
  </si>
  <si>
    <t>2010FravsSUF</t>
  </si>
  <si>
    <t>2010SKvsGree</t>
  </si>
  <si>
    <t>Greece</t>
  </si>
  <si>
    <t>2010ArgvsNidg</t>
  </si>
  <si>
    <t>2010ArgvsSK</t>
  </si>
  <si>
    <t>2010GreevsNig</t>
  </si>
  <si>
    <t>2010NigvsSK</t>
  </si>
  <si>
    <t>2010GreevsArg</t>
  </si>
  <si>
    <t>2010EngvsUs</t>
  </si>
  <si>
    <t>2010AlgvsSlov</t>
  </si>
  <si>
    <t>Algeria</t>
  </si>
  <si>
    <t>2010SlovsUs</t>
  </si>
  <si>
    <t>2010EngvsAlg</t>
  </si>
  <si>
    <t>2010SlovsEng</t>
  </si>
  <si>
    <t>2010USvsAlg</t>
  </si>
  <si>
    <t>2010ServsGha</t>
  </si>
  <si>
    <t>2010GervsAus</t>
  </si>
  <si>
    <t>2010GervsSer</t>
  </si>
  <si>
    <t>2010GhavsAus</t>
  </si>
  <si>
    <t>2010GhavsGer</t>
  </si>
  <si>
    <t>2010AusvsSer</t>
  </si>
  <si>
    <t>2010NethvsDen</t>
  </si>
  <si>
    <t>2010JapvsCam</t>
  </si>
  <si>
    <t>2010NethvsJap</t>
  </si>
  <si>
    <t>2010CamvsDen</t>
  </si>
  <si>
    <t>2010DenvsJap</t>
  </si>
  <si>
    <t>2010CamvsNeth</t>
  </si>
  <si>
    <t>2010ItavsPara</t>
  </si>
  <si>
    <t>2010NzvsSlo</t>
  </si>
  <si>
    <t>New Zealand</t>
  </si>
  <si>
    <t>Slovakia</t>
  </si>
  <si>
    <t>2010SlovsPara</t>
  </si>
  <si>
    <t>2010ItavsNz</t>
  </si>
  <si>
    <t>2010SlovsIta</t>
  </si>
  <si>
    <t>2010ParavsNw</t>
  </si>
  <si>
    <t>2010IvovsPor</t>
  </si>
  <si>
    <t>2010BravsNk</t>
  </si>
  <si>
    <t>North Korea</t>
  </si>
  <si>
    <t>2010BravsIvo</t>
  </si>
  <si>
    <t>2010PorvsNk</t>
  </si>
  <si>
    <t>2010PorvsBra</t>
  </si>
  <si>
    <t>2010NKvsLov</t>
  </si>
  <si>
    <t>2010HonvsChile</t>
  </si>
  <si>
    <t>Honduras</t>
  </si>
  <si>
    <t>Chile</t>
  </si>
  <si>
    <t>2010SpavsSwi</t>
  </si>
  <si>
    <t>2010ChivsSwi</t>
  </si>
  <si>
    <t>2010SpavsHon</t>
  </si>
  <si>
    <t>2010ChilvsSpa</t>
  </si>
  <si>
    <t>2010SwivsHon</t>
  </si>
  <si>
    <t>2010UrgvsSk</t>
  </si>
  <si>
    <t>2010UsvsGha</t>
  </si>
  <si>
    <t>2010NethvsSlo</t>
  </si>
  <si>
    <t>2010BravsChil</t>
  </si>
  <si>
    <t>2010ArgvsMex</t>
  </si>
  <si>
    <t>2010GervsEng</t>
  </si>
  <si>
    <t>2010ParavsJap</t>
  </si>
  <si>
    <t>2010SpavsPor</t>
  </si>
  <si>
    <t>2010UruvsGha</t>
  </si>
  <si>
    <t>2010NethvsBra</t>
  </si>
  <si>
    <t>2010ArgvsGer</t>
  </si>
  <si>
    <t>2010ParavsSpa</t>
  </si>
  <si>
    <t>2010UrgvsNeth</t>
  </si>
  <si>
    <t>2010GervsSpa</t>
  </si>
  <si>
    <t>2010_Final_NethvsSpa</t>
  </si>
  <si>
    <t>2010UruvsGer</t>
  </si>
  <si>
    <t>Colombia</t>
  </si>
  <si>
    <t>Bosnia</t>
  </si>
  <si>
    <t>2014BravsCro</t>
  </si>
  <si>
    <t>2014ChivsAus</t>
  </si>
  <si>
    <t>2014MexvsCam</t>
  </si>
  <si>
    <t>2014SpavsNeth</t>
  </si>
  <si>
    <t>2014Comvsgree</t>
  </si>
  <si>
    <t>2014EngvsIta</t>
  </si>
  <si>
    <t>2014IvovsJap</t>
  </si>
  <si>
    <t>2014UruvsCoRi</t>
  </si>
  <si>
    <t>2014ArgvsBos</t>
  </si>
  <si>
    <t>2014FravsHon</t>
  </si>
  <si>
    <t>2014SwivsEcu</t>
  </si>
  <si>
    <t>2014GervsPor</t>
  </si>
  <si>
    <t>2014GhavsUs</t>
  </si>
  <si>
    <t>2014IravsNig</t>
  </si>
  <si>
    <t>2014BelvsAlge</t>
  </si>
  <si>
    <t>2014BravsMex</t>
  </si>
  <si>
    <t>2014RusvsSK</t>
  </si>
  <si>
    <t>2014AusvsNeth</t>
  </si>
  <si>
    <t>2014CamvsCro</t>
  </si>
  <si>
    <t>2014SpavsChi</t>
  </si>
  <si>
    <t>2014ColovsIvo</t>
  </si>
  <si>
    <t>2014JapvsGreece</t>
  </si>
  <si>
    <t>2014UruvsEng</t>
  </si>
  <si>
    <t>2014HonvsEcu</t>
  </si>
  <si>
    <t>2014ItavsCoRi</t>
  </si>
  <si>
    <t>2014SwivsFra</t>
  </si>
  <si>
    <t>2014ArgvsIra</t>
  </si>
  <si>
    <t>2014GervsGha</t>
  </si>
  <si>
    <t>2014NigvsBos</t>
  </si>
  <si>
    <t>2014BelvsRus</t>
  </si>
  <si>
    <t>2014SkvsAlg</t>
  </si>
  <si>
    <t>2014UsvsPor</t>
  </si>
  <si>
    <t>2014AusvsSpa</t>
  </si>
  <si>
    <t>2014BravsCam</t>
  </si>
  <si>
    <t>2014CrovsMex</t>
  </si>
  <si>
    <t>2014NethvaChi</t>
  </si>
  <si>
    <t>2014CoRivsEng</t>
  </si>
  <si>
    <t>2014GrevsIo</t>
  </si>
  <si>
    <t>2014ItavsUrg</t>
  </si>
  <si>
    <t>2014JapvsCol</t>
  </si>
  <si>
    <t>2014BosvsIr</t>
  </si>
  <si>
    <t>2014EcuvsFra</t>
  </si>
  <si>
    <t>2014HonvsSwi</t>
  </si>
  <si>
    <t>2014NigvsArg</t>
  </si>
  <si>
    <t>2014AlgvsRuss</t>
  </si>
  <si>
    <t>2014SKvsBel</t>
  </si>
  <si>
    <t>2014PorvsGha</t>
  </si>
  <si>
    <t>2014UsvsGer</t>
  </si>
  <si>
    <t>2014BravsChi</t>
  </si>
  <si>
    <t>2014ColvsUrg</t>
  </si>
  <si>
    <t>2014CoRIivsGree</t>
  </si>
  <si>
    <t>2014NethvsMex</t>
  </si>
  <si>
    <t>2014FravsNig</t>
  </si>
  <si>
    <t>2014GervsAlg</t>
  </si>
  <si>
    <t>2014ArgvsSwi</t>
  </si>
  <si>
    <t>2014BelvsUs</t>
  </si>
  <si>
    <t>2014BravsCol</t>
  </si>
  <si>
    <t>2014FracsGer</t>
  </si>
  <si>
    <t>2014ArgvsBel</t>
  </si>
  <si>
    <t>2014NethvsCoRi</t>
  </si>
  <si>
    <t>2014BravsGer</t>
  </si>
  <si>
    <t>2014NethvsArg</t>
  </si>
  <si>
    <t>2014BravsNeth</t>
  </si>
  <si>
    <t>2014GervsArg</t>
  </si>
  <si>
    <t>Head_to_Head_Team1_result_precentage</t>
  </si>
  <si>
    <t>Saudi Arabia</t>
  </si>
  <si>
    <t>Egypt</t>
  </si>
  <si>
    <t>Morocco</t>
  </si>
  <si>
    <t>Iceland</t>
  </si>
  <si>
    <t>Peru</t>
  </si>
  <si>
    <t>Panama</t>
  </si>
  <si>
    <t>2018RussvsSA</t>
  </si>
  <si>
    <t>2018EgyvsUru</t>
  </si>
  <si>
    <t>2018MorovsIran</t>
  </si>
  <si>
    <t>2018PorvsSpa</t>
  </si>
  <si>
    <t>2018FravsAus</t>
  </si>
  <si>
    <t>2018ArgvsIce</t>
  </si>
  <si>
    <t>2018PervsDen</t>
  </si>
  <si>
    <t>2018CrovsNig</t>
  </si>
  <si>
    <t>2018CoRivsSer</t>
  </si>
  <si>
    <t>2018GervsMex</t>
  </si>
  <si>
    <t>2018BravsSwi</t>
  </si>
  <si>
    <t>2018SwevsSK</t>
  </si>
  <si>
    <t>2018BelvsPan</t>
  </si>
  <si>
    <t>2018TunvsEng</t>
  </si>
  <si>
    <t>2018ColvsJap</t>
  </si>
  <si>
    <t>2018PanvsSen</t>
  </si>
  <si>
    <t>2018RusvsEgy</t>
  </si>
  <si>
    <t>2018PorvsMoro</t>
  </si>
  <si>
    <t>2018UruvsSA</t>
  </si>
  <si>
    <t>2018IravsSpa</t>
  </si>
  <si>
    <t>2018DenvsAus</t>
  </si>
  <si>
    <t>2018FravsPer</t>
  </si>
  <si>
    <t>2018ArgvsCro</t>
  </si>
  <si>
    <t>2018BravsCoRi</t>
  </si>
  <si>
    <t>2018NigvsIce</t>
  </si>
  <si>
    <t>2018ServsSwi</t>
  </si>
  <si>
    <t>2018BelvsTun</t>
  </si>
  <si>
    <t>2018SKvsMex</t>
  </si>
  <si>
    <t>2018GervsSwe</t>
  </si>
  <si>
    <t>2018EngvsPan</t>
  </si>
  <si>
    <t>2018JapvsSen</t>
  </si>
  <si>
    <t>2018PolvsCol</t>
  </si>
  <si>
    <t>2018RusvsUru</t>
  </si>
  <si>
    <t>2018SAvsEgy</t>
  </si>
  <si>
    <t>2018SpavsMor</t>
  </si>
  <si>
    <t>2018IravsPor</t>
  </si>
  <si>
    <t>2018AusvsPer</t>
  </si>
  <si>
    <t>2018DenvsFra</t>
  </si>
  <si>
    <t>2018NigvsArg</t>
  </si>
  <si>
    <t>2018IcevsCro</t>
  </si>
  <si>
    <t>2018SKvsGer</t>
  </si>
  <si>
    <t>2018MexvsSwe</t>
  </si>
  <si>
    <t>2018ServsBra</t>
  </si>
  <si>
    <t>2018SwivsCoRi</t>
  </si>
  <si>
    <t>2018JapvsPol</t>
  </si>
  <si>
    <t>2018SenvsCol</t>
  </si>
  <si>
    <t>2018PanvsTus</t>
  </si>
  <si>
    <t>2018EngvsBel</t>
  </si>
  <si>
    <t>2018FravsArg</t>
  </si>
  <si>
    <t>2018UruvsPor</t>
  </si>
  <si>
    <t>2018RusvsSpa</t>
  </si>
  <si>
    <t>2018CrovsDen</t>
  </si>
  <si>
    <t>2018BravsMex</t>
  </si>
  <si>
    <t>2018BelvsJap</t>
  </si>
  <si>
    <t>2018SwevsSwi</t>
  </si>
  <si>
    <t>2018ColvsEng</t>
  </si>
  <si>
    <t>218UruvsFra</t>
  </si>
  <si>
    <t>2018BravsBel</t>
  </si>
  <si>
    <t>2018SwevsEng</t>
  </si>
  <si>
    <t>2018RusvsCro</t>
  </si>
  <si>
    <t>2018FravsBel</t>
  </si>
  <si>
    <t>2018CrovsEng</t>
  </si>
  <si>
    <t>2018BelvsEng</t>
  </si>
  <si>
    <t>2018_Final_FravsCro</t>
  </si>
  <si>
    <t>2022QatvsEcu</t>
  </si>
  <si>
    <t>Qatar</t>
  </si>
  <si>
    <t>2022SenvsNeth</t>
  </si>
  <si>
    <t>2022QatvsSen</t>
  </si>
  <si>
    <t>2022NethvsEcu</t>
  </si>
  <si>
    <t>2022EcuvsSen</t>
  </si>
  <si>
    <t>2022NethvsQat</t>
  </si>
  <si>
    <t>2022EngvsIra</t>
  </si>
  <si>
    <t>2022UsvsWal</t>
  </si>
  <si>
    <t>Wales</t>
  </si>
  <si>
    <t>2022WalvsIra</t>
  </si>
  <si>
    <t>2022EngvsUs</t>
  </si>
  <si>
    <t>2022WalsvsEng</t>
  </si>
  <si>
    <t>2022IravsUs</t>
  </si>
  <si>
    <t>2022ArgvsSA</t>
  </si>
  <si>
    <t>2022MexvsPol</t>
  </si>
  <si>
    <t>2022PolvsSA</t>
  </si>
  <si>
    <t>2022ArgvsMex</t>
  </si>
  <si>
    <t>2022PolvsArg</t>
  </si>
  <si>
    <t>2022SAvsMex</t>
  </si>
  <si>
    <t>2022DenvsTun</t>
  </si>
  <si>
    <t>2022FravsAus</t>
  </si>
  <si>
    <t>2022TunvsAus</t>
  </si>
  <si>
    <t>2022FravsDen</t>
  </si>
  <si>
    <t>2022AusvsDen</t>
  </si>
  <si>
    <t>2022TunvsFra</t>
  </si>
  <si>
    <t>2022GervsJap</t>
  </si>
  <si>
    <t>2022SpavsCoRi</t>
  </si>
  <si>
    <t>2022JapvsCoRi</t>
  </si>
  <si>
    <t>2022SpavsGer</t>
  </si>
  <si>
    <t>2022JapvsSpa</t>
  </si>
  <si>
    <t>2022CoRivsGer</t>
  </si>
  <si>
    <t>2022MorvsCro</t>
  </si>
  <si>
    <t>2022BelvsCan</t>
  </si>
  <si>
    <t>Canada</t>
  </si>
  <si>
    <t>2022BelvsMor</t>
  </si>
  <si>
    <t>2022CrovsCan</t>
  </si>
  <si>
    <t>2022CrovsBel</t>
  </si>
  <si>
    <t>2022CanvsMor</t>
  </si>
  <si>
    <t>2022SwivsCam</t>
  </si>
  <si>
    <t>2022BravsSer</t>
  </si>
  <si>
    <t>2022CamvsSer</t>
  </si>
  <si>
    <t>2022BravsSwi</t>
  </si>
  <si>
    <t>2022ServsSwi</t>
  </si>
  <si>
    <t>2022CamvsBra</t>
  </si>
  <si>
    <t>2022UruvsSK</t>
  </si>
  <si>
    <t>2022PorvsGha</t>
  </si>
  <si>
    <t>2022SKvsGha</t>
  </si>
  <si>
    <t>2022PorvsUru</t>
  </si>
  <si>
    <t>2022GhavsUru</t>
  </si>
  <si>
    <t>2022SKvsPor</t>
  </si>
  <si>
    <t>2022NethvsUs</t>
  </si>
  <si>
    <t>2022ArgvsAus</t>
  </si>
  <si>
    <t>2022JapvsCro</t>
  </si>
  <si>
    <t>2022BravsSK</t>
  </si>
  <si>
    <t>2022EngvsSen</t>
  </si>
  <si>
    <t>2022FravsPol</t>
  </si>
  <si>
    <t>2022MorvsSpa</t>
  </si>
  <si>
    <t>2022PorvsSwi</t>
  </si>
  <si>
    <t>2022NethvsArg</t>
  </si>
  <si>
    <t>2022CrovsBra</t>
  </si>
  <si>
    <t>2022EngvsFra</t>
  </si>
  <si>
    <t>2022MorvsPor</t>
  </si>
  <si>
    <t>2022ArgvsCro</t>
  </si>
  <si>
    <t>2022FravsMor</t>
  </si>
  <si>
    <t>2022_Final_ArgvsFra</t>
  </si>
  <si>
    <t>2022CrovsMor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</si>
</sst>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2/rank_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2/Star_playe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2/GK_ran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6/rank_tab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6/Star_player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06/GK_ran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0/rank_tabl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0/Star_player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0/GK_ran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4/rank_tabl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4/Star_player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4/GK_ran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8/rank_tab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8/Star_player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18/GK_ran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22/rank_tabl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22/Star_player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2022/GK_ran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 Name</v>
          </cell>
          <cell r="B1" t="str">
            <v>Ranking</v>
          </cell>
        </row>
        <row r="2">
          <cell r="A2" t="str">
            <v>Argentina</v>
          </cell>
          <cell r="B2">
            <v>3</v>
          </cell>
        </row>
        <row r="3">
          <cell r="A3" t="str">
            <v>Belgium</v>
          </cell>
          <cell r="B3">
            <v>23</v>
          </cell>
        </row>
        <row r="4">
          <cell r="A4" t="str">
            <v>Brazil</v>
          </cell>
          <cell r="B4">
            <v>2</v>
          </cell>
        </row>
        <row r="5">
          <cell r="A5" t="str">
            <v>Cameroon</v>
          </cell>
          <cell r="B5">
            <v>17</v>
          </cell>
        </row>
        <row r="6">
          <cell r="A6" t="str">
            <v>China</v>
          </cell>
          <cell r="B6">
            <v>50</v>
          </cell>
        </row>
        <row r="7">
          <cell r="A7" t="str">
            <v>Costa Rica</v>
          </cell>
          <cell r="B7">
            <v>29</v>
          </cell>
        </row>
        <row r="8">
          <cell r="A8" t="str">
            <v>Croatia</v>
          </cell>
          <cell r="B8">
            <v>21</v>
          </cell>
        </row>
        <row r="9">
          <cell r="A9" t="str">
            <v>Denmark</v>
          </cell>
          <cell r="B9">
            <v>20</v>
          </cell>
        </row>
        <row r="10">
          <cell r="A10" t="str">
            <v>Ecuador</v>
          </cell>
          <cell r="B10">
            <v>36</v>
          </cell>
        </row>
        <row r="11">
          <cell r="A11" t="str">
            <v>England</v>
          </cell>
          <cell r="B11">
            <v>12</v>
          </cell>
        </row>
        <row r="12">
          <cell r="A12" t="str">
            <v>France</v>
          </cell>
          <cell r="B12">
            <v>1</v>
          </cell>
        </row>
        <row r="13">
          <cell r="A13" t="str">
            <v>Germany</v>
          </cell>
          <cell r="B13">
            <v>11</v>
          </cell>
        </row>
        <row r="14">
          <cell r="A14" t="str">
            <v>Italy</v>
          </cell>
          <cell r="B14">
            <v>6</v>
          </cell>
        </row>
        <row r="15">
          <cell r="A15" t="str">
            <v>Japan</v>
          </cell>
          <cell r="B15">
            <v>32</v>
          </cell>
        </row>
        <row r="16">
          <cell r="A16" t="str">
            <v>Mexico</v>
          </cell>
          <cell r="B16">
            <v>7</v>
          </cell>
        </row>
        <row r="17">
          <cell r="A17" t="str">
            <v>Nigeria</v>
          </cell>
          <cell r="B17">
            <v>27</v>
          </cell>
        </row>
        <row r="18">
          <cell r="A18" t="str">
            <v>Paraguay</v>
          </cell>
          <cell r="B18">
            <v>18</v>
          </cell>
        </row>
        <row r="19">
          <cell r="A19" t="str">
            <v>Poland</v>
          </cell>
          <cell r="B19">
            <v>38</v>
          </cell>
        </row>
        <row r="20">
          <cell r="A20" t="str">
            <v>Portugal</v>
          </cell>
          <cell r="B20">
            <v>5</v>
          </cell>
        </row>
        <row r="21">
          <cell r="A21" t="str">
            <v>Ireland</v>
          </cell>
          <cell r="B21">
            <v>15</v>
          </cell>
        </row>
        <row r="22">
          <cell r="A22" t="str">
            <v>Russia</v>
          </cell>
          <cell r="B22">
            <v>28</v>
          </cell>
        </row>
        <row r="23">
          <cell r="A23" t="str">
            <v>Saudi Arabia</v>
          </cell>
          <cell r="B23">
            <v>34</v>
          </cell>
        </row>
        <row r="24">
          <cell r="A24" t="str">
            <v>Senegal</v>
          </cell>
          <cell r="B24">
            <v>42</v>
          </cell>
        </row>
        <row r="25">
          <cell r="A25" t="str">
            <v>Slovenia</v>
          </cell>
          <cell r="B25">
            <v>25</v>
          </cell>
        </row>
        <row r="26">
          <cell r="A26" t="str">
            <v>South Africa</v>
          </cell>
          <cell r="B26">
            <v>37</v>
          </cell>
        </row>
        <row r="27">
          <cell r="A27" t="str">
            <v>South Korea</v>
          </cell>
          <cell r="B27">
            <v>40</v>
          </cell>
        </row>
        <row r="28">
          <cell r="A28" t="str">
            <v>Spain</v>
          </cell>
          <cell r="B28">
            <v>8</v>
          </cell>
        </row>
        <row r="29">
          <cell r="A29" t="str">
            <v>Sweden</v>
          </cell>
          <cell r="B29">
            <v>19</v>
          </cell>
        </row>
        <row r="30">
          <cell r="A30" t="str">
            <v>Tunisia</v>
          </cell>
          <cell r="B30">
            <v>31</v>
          </cell>
        </row>
        <row r="31">
          <cell r="A31" t="str">
            <v>Turkey</v>
          </cell>
          <cell r="B31">
            <v>22</v>
          </cell>
        </row>
        <row r="32">
          <cell r="A32" t="str">
            <v>United States</v>
          </cell>
          <cell r="B32">
            <v>13</v>
          </cell>
        </row>
        <row r="33">
          <cell r="A33" t="str">
            <v>Uruguay</v>
          </cell>
          <cell r="B33">
            <v>24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A (Team)</v>
          </cell>
          <cell r="B1" t="str">
            <v>B (Star_Players)</v>
          </cell>
          <cell r="C1" t="str">
            <v>C (Top100_Players)</v>
          </cell>
        </row>
        <row r="2">
          <cell r="A2" t="str">
            <v>Brazil</v>
          </cell>
          <cell r="B2">
            <v>3</v>
          </cell>
          <cell r="C2">
            <v>7</v>
          </cell>
        </row>
        <row r="3">
          <cell r="A3" t="str">
            <v>France</v>
          </cell>
          <cell r="B3">
            <v>1</v>
          </cell>
          <cell r="C3">
            <v>6</v>
          </cell>
        </row>
        <row r="4">
          <cell r="A4" t="str">
            <v>Argentina</v>
          </cell>
          <cell r="B4">
            <v>2</v>
          </cell>
          <cell r="C4">
            <v>5</v>
          </cell>
        </row>
        <row r="5">
          <cell r="A5" t="str">
            <v>Italy</v>
          </cell>
          <cell r="B5">
            <v>2</v>
          </cell>
          <cell r="C5">
            <v>5</v>
          </cell>
        </row>
        <row r="6">
          <cell r="A6" t="str">
            <v>England</v>
          </cell>
          <cell r="B6">
            <v>1</v>
          </cell>
          <cell r="C6">
            <v>4</v>
          </cell>
        </row>
        <row r="7">
          <cell r="A7" t="str">
            <v>Spain</v>
          </cell>
          <cell r="B7">
            <v>1</v>
          </cell>
          <cell r="C7">
            <v>4</v>
          </cell>
        </row>
        <row r="8">
          <cell r="A8" t="str">
            <v>Portugal</v>
          </cell>
          <cell r="B8">
            <v>1</v>
          </cell>
          <cell r="C8">
            <v>3</v>
          </cell>
        </row>
        <row r="9">
          <cell r="A9" t="str">
            <v>Germany</v>
          </cell>
          <cell r="B9">
            <v>1</v>
          </cell>
          <cell r="C9">
            <v>3</v>
          </cell>
        </row>
        <row r="10">
          <cell r="A10" t="str">
            <v>Cameroon</v>
          </cell>
          <cell r="B10">
            <v>1</v>
          </cell>
          <cell r="C10">
            <v>2</v>
          </cell>
        </row>
        <row r="11">
          <cell r="A11" t="str">
            <v>Mexico</v>
          </cell>
          <cell r="B11">
            <v>0</v>
          </cell>
          <cell r="C11">
            <v>2</v>
          </cell>
        </row>
        <row r="12">
          <cell r="A12" t="str">
            <v>Turkey</v>
          </cell>
          <cell r="B12">
            <v>0</v>
          </cell>
          <cell r="C12">
            <v>2</v>
          </cell>
        </row>
        <row r="13">
          <cell r="A13" t="str">
            <v>Senegal</v>
          </cell>
          <cell r="B13">
            <v>0</v>
          </cell>
          <cell r="C13">
            <v>2</v>
          </cell>
        </row>
        <row r="14">
          <cell r="A14" t="str">
            <v>Denmark</v>
          </cell>
          <cell r="B14">
            <v>0</v>
          </cell>
          <cell r="C14">
            <v>2</v>
          </cell>
        </row>
        <row r="15">
          <cell r="A15" t="str">
            <v>Croatia</v>
          </cell>
          <cell r="B15">
            <v>0</v>
          </cell>
          <cell r="C15">
            <v>1</v>
          </cell>
        </row>
        <row r="16">
          <cell r="A16" t="str">
            <v>Sweden</v>
          </cell>
          <cell r="B16">
            <v>0</v>
          </cell>
          <cell r="C16">
            <v>1</v>
          </cell>
        </row>
        <row r="17">
          <cell r="A17" t="str">
            <v>Belgium</v>
          </cell>
          <cell r="B17">
            <v>0</v>
          </cell>
          <cell r="C17">
            <v>1</v>
          </cell>
        </row>
        <row r="18">
          <cell r="A18" t="str">
            <v>Uruguay</v>
          </cell>
          <cell r="B18">
            <v>0</v>
          </cell>
          <cell r="C18">
            <v>1</v>
          </cell>
        </row>
        <row r="19">
          <cell r="A19" t="str">
            <v>Nigeria</v>
          </cell>
          <cell r="B19">
            <v>0</v>
          </cell>
          <cell r="C19">
            <v>1</v>
          </cell>
        </row>
        <row r="20">
          <cell r="A20" t="str">
            <v>Japan</v>
          </cell>
          <cell r="B20">
            <v>0</v>
          </cell>
          <cell r="C20">
            <v>0</v>
          </cell>
        </row>
        <row r="21">
          <cell r="A21" t="str">
            <v>South Korea</v>
          </cell>
          <cell r="B21">
            <v>0</v>
          </cell>
          <cell r="C21">
            <v>0</v>
          </cell>
        </row>
        <row r="22">
          <cell r="A22" t="str">
            <v>China</v>
          </cell>
          <cell r="B22">
            <v>0</v>
          </cell>
          <cell r="C22">
            <v>0</v>
          </cell>
        </row>
        <row r="23">
          <cell r="A23" t="str">
            <v>Saudi Arabia</v>
          </cell>
          <cell r="B23">
            <v>0</v>
          </cell>
          <cell r="C23">
            <v>0</v>
          </cell>
        </row>
        <row r="24">
          <cell r="A24" t="str">
            <v>Ecuador</v>
          </cell>
          <cell r="B24">
            <v>0</v>
          </cell>
          <cell r="C24">
            <v>0</v>
          </cell>
        </row>
        <row r="25">
          <cell r="A25" t="str">
            <v>South Africa</v>
          </cell>
          <cell r="B25">
            <v>0</v>
          </cell>
          <cell r="C25">
            <v>0</v>
          </cell>
        </row>
        <row r="26">
          <cell r="A26" t="str">
            <v>Poland</v>
          </cell>
          <cell r="B26">
            <v>0</v>
          </cell>
          <cell r="C26">
            <v>0</v>
          </cell>
        </row>
        <row r="27">
          <cell r="A27" t="str">
            <v>Tunisia</v>
          </cell>
          <cell r="B27">
            <v>0</v>
          </cell>
          <cell r="C27">
            <v>0</v>
          </cell>
        </row>
        <row r="28">
          <cell r="A28" t="str">
            <v>Costa Rica</v>
          </cell>
          <cell r="B28">
            <v>0</v>
          </cell>
          <cell r="C28">
            <v>0</v>
          </cell>
        </row>
        <row r="29">
          <cell r="A29" t="str">
            <v>Paraguay</v>
          </cell>
          <cell r="B29">
            <v>0</v>
          </cell>
          <cell r="C29">
            <v>0</v>
          </cell>
        </row>
        <row r="30">
          <cell r="A30" t="str">
            <v>Slovenia</v>
          </cell>
          <cell r="B30">
            <v>0</v>
          </cell>
          <cell r="C30">
            <v>0</v>
          </cell>
        </row>
        <row r="31">
          <cell r="A31" t="str">
            <v>Russia</v>
          </cell>
          <cell r="B31">
            <v>0</v>
          </cell>
          <cell r="C31">
            <v>0</v>
          </cell>
        </row>
        <row r="32">
          <cell r="A32" t="str">
            <v>Ireland</v>
          </cell>
          <cell r="B32">
            <v>0</v>
          </cell>
          <cell r="C32">
            <v>0</v>
          </cell>
        </row>
        <row r="33">
          <cell r="A33" t="str">
            <v>united states</v>
          </cell>
          <cell r="B33">
            <v>0</v>
          </cell>
          <cell r="C33">
            <v>2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GK_Rank</v>
          </cell>
        </row>
        <row r="2">
          <cell r="A2" t="str">
            <v>Germany</v>
          </cell>
          <cell r="B2">
            <v>1</v>
          </cell>
        </row>
        <row r="3">
          <cell r="A3" t="str">
            <v>Italy</v>
          </cell>
          <cell r="B3">
            <v>2</v>
          </cell>
        </row>
        <row r="4">
          <cell r="A4" t="str">
            <v>France</v>
          </cell>
          <cell r="B4">
            <v>3</v>
          </cell>
        </row>
        <row r="5">
          <cell r="A5" t="str">
            <v>England</v>
          </cell>
          <cell r="B5">
            <v>4</v>
          </cell>
        </row>
        <row r="6">
          <cell r="A6" t="str">
            <v>Brazil</v>
          </cell>
          <cell r="B6">
            <v>5</v>
          </cell>
        </row>
        <row r="7">
          <cell r="A7" t="str">
            <v>Spain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Denmark</v>
          </cell>
          <cell r="B10">
            <v>9</v>
          </cell>
        </row>
        <row r="11">
          <cell r="A11" t="str">
            <v>Turkey</v>
          </cell>
          <cell r="B11">
            <v>10</v>
          </cell>
        </row>
        <row r="12">
          <cell r="A12" t="str">
            <v>Sweden</v>
          </cell>
          <cell r="B12">
            <v>11</v>
          </cell>
        </row>
        <row r="13">
          <cell r="A13" t="str">
            <v>Croatia</v>
          </cell>
          <cell r="B13">
            <v>12</v>
          </cell>
        </row>
        <row r="14">
          <cell r="A14" t="str">
            <v>Belgium</v>
          </cell>
          <cell r="B14">
            <v>13</v>
          </cell>
        </row>
        <row r="15">
          <cell r="A15" t="str">
            <v>Uruguay</v>
          </cell>
          <cell r="B15">
            <v>14</v>
          </cell>
        </row>
        <row r="16">
          <cell r="A16" t="str">
            <v>United States</v>
          </cell>
          <cell r="B16">
            <v>15</v>
          </cell>
        </row>
        <row r="17">
          <cell r="A17" t="str">
            <v>Nigeria</v>
          </cell>
          <cell r="B17">
            <v>16</v>
          </cell>
        </row>
        <row r="18">
          <cell r="A18" t="str">
            <v>Cameroon</v>
          </cell>
          <cell r="B18">
            <v>17</v>
          </cell>
        </row>
        <row r="19">
          <cell r="A19" t="str">
            <v>Mexico</v>
          </cell>
          <cell r="B19">
            <v>18</v>
          </cell>
        </row>
        <row r="20">
          <cell r="A20" t="str">
            <v>Senegal</v>
          </cell>
          <cell r="B20">
            <v>19</v>
          </cell>
        </row>
        <row r="21">
          <cell r="A21" t="str">
            <v>South Korea</v>
          </cell>
          <cell r="B21">
            <v>20</v>
          </cell>
        </row>
        <row r="22">
          <cell r="A22" t="str">
            <v>Japan</v>
          </cell>
          <cell r="B22">
            <v>21</v>
          </cell>
        </row>
        <row r="23">
          <cell r="A23" t="str">
            <v>Ireland</v>
          </cell>
          <cell r="B23">
            <v>22</v>
          </cell>
        </row>
        <row r="24">
          <cell r="A24" t="str">
            <v>Russia</v>
          </cell>
          <cell r="B24">
            <v>23</v>
          </cell>
        </row>
        <row r="25">
          <cell r="A25" t="str">
            <v>Paraguay</v>
          </cell>
          <cell r="B25">
            <v>24</v>
          </cell>
        </row>
        <row r="26">
          <cell r="A26" t="str">
            <v>Costa Rica</v>
          </cell>
          <cell r="B26">
            <v>25</v>
          </cell>
        </row>
        <row r="27">
          <cell r="A27" t="str">
            <v>Poland</v>
          </cell>
          <cell r="B27">
            <v>26</v>
          </cell>
        </row>
        <row r="28">
          <cell r="A28" t="str">
            <v>Tunisia</v>
          </cell>
          <cell r="B28">
            <v>27</v>
          </cell>
        </row>
        <row r="29">
          <cell r="A29" t="str">
            <v>Saudi Arabia</v>
          </cell>
          <cell r="B29">
            <v>28</v>
          </cell>
        </row>
        <row r="30">
          <cell r="A30" t="str">
            <v>Ecuador</v>
          </cell>
          <cell r="B30">
            <v>29</v>
          </cell>
        </row>
        <row r="31">
          <cell r="A31" t="str">
            <v>South Africa</v>
          </cell>
          <cell r="B31">
            <v>30</v>
          </cell>
        </row>
        <row r="32">
          <cell r="A32" t="str">
            <v>Slovenia</v>
          </cell>
          <cell r="B32">
            <v>31</v>
          </cell>
        </row>
        <row r="33">
          <cell r="A33" t="str">
            <v>China</v>
          </cell>
          <cell r="B33">
            <v>32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Rank</v>
          </cell>
        </row>
        <row r="2">
          <cell r="A2" t="str">
            <v>Brazil</v>
          </cell>
          <cell r="B2">
            <v>1</v>
          </cell>
        </row>
        <row r="3">
          <cell r="A3" t="str">
            <v>Czech</v>
          </cell>
          <cell r="B3">
            <v>2</v>
          </cell>
        </row>
        <row r="4">
          <cell r="A4" t="str">
            <v>Netherlands</v>
          </cell>
          <cell r="B4">
            <v>3</v>
          </cell>
        </row>
        <row r="5">
          <cell r="A5" t="str">
            <v>Mexico</v>
          </cell>
          <cell r="B5">
            <v>4</v>
          </cell>
        </row>
        <row r="6">
          <cell r="A6" t="str">
            <v>United States</v>
          </cell>
          <cell r="B6">
            <v>5</v>
          </cell>
        </row>
        <row r="7">
          <cell r="A7" t="str">
            <v>Spain</v>
          </cell>
          <cell r="B7">
            <v>5</v>
          </cell>
        </row>
        <row r="8">
          <cell r="A8" t="str">
            <v>Portugal</v>
          </cell>
          <cell r="B8">
            <v>7</v>
          </cell>
        </row>
        <row r="9">
          <cell r="A9" t="str">
            <v>France</v>
          </cell>
          <cell r="B9">
            <v>8</v>
          </cell>
        </row>
        <row r="10">
          <cell r="A10" t="str">
            <v>Argentina</v>
          </cell>
          <cell r="B10">
            <v>9</v>
          </cell>
        </row>
        <row r="11">
          <cell r="A11" t="str">
            <v>England</v>
          </cell>
          <cell r="B11">
            <v>10</v>
          </cell>
        </row>
        <row r="12">
          <cell r="A12" t="str">
            <v>Italy</v>
          </cell>
          <cell r="B12">
            <v>13</v>
          </cell>
        </row>
        <row r="13">
          <cell r="A13" t="str">
            <v>Sweden</v>
          </cell>
          <cell r="B13">
            <v>16</v>
          </cell>
        </row>
        <row r="14">
          <cell r="A14" t="str">
            <v>Japan</v>
          </cell>
          <cell r="B14">
            <v>18</v>
          </cell>
        </row>
        <row r="15">
          <cell r="A15" t="str">
            <v>Germany</v>
          </cell>
          <cell r="B15">
            <v>19</v>
          </cell>
        </row>
        <row r="16">
          <cell r="A16" t="str">
            <v>Tunisia</v>
          </cell>
          <cell r="B16">
            <v>21</v>
          </cell>
        </row>
        <row r="17">
          <cell r="A17" t="str">
            <v>Iran</v>
          </cell>
          <cell r="B17">
            <v>23</v>
          </cell>
        </row>
        <row r="18">
          <cell r="A18" t="str">
            <v>Croatia</v>
          </cell>
          <cell r="B18">
            <v>23</v>
          </cell>
        </row>
        <row r="19">
          <cell r="A19" t="str">
            <v>Costa Rica</v>
          </cell>
          <cell r="B19">
            <v>25</v>
          </cell>
        </row>
        <row r="20">
          <cell r="A20" t="str">
            <v>South Korea</v>
          </cell>
          <cell r="B20">
            <v>29</v>
          </cell>
        </row>
        <row r="21">
          <cell r="A21" t="str">
            <v>Poland</v>
          </cell>
          <cell r="B21">
            <v>29</v>
          </cell>
        </row>
        <row r="22">
          <cell r="A22" t="str">
            <v>Ivory Coast</v>
          </cell>
          <cell r="B22">
            <v>32</v>
          </cell>
        </row>
        <row r="23">
          <cell r="A23" t="str">
            <v>Paraguay</v>
          </cell>
          <cell r="B23">
            <v>33</v>
          </cell>
        </row>
        <row r="24">
          <cell r="A24" t="str">
            <v>Saudi Arabia</v>
          </cell>
          <cell r="B24">
            <v>34</v>
          </cell>
        </row>
        <row r="25">
          <cell r="A25" t="str">
            <v>Switzerland</v>
          </cell>
          <cell r="B25">
            <v>35</v>
          </cell>
        </row>
        <row r="26">
          <cell r="A26" t="str">
            <v>Ecuador</v>
          </cell>
          <cell r="B26">
            <v>39</v>
          </cell>
        </row>
        <row r="27">
          <cell r="A27" t="str">
            <v>Australia</v>
          </cell>
          <cell r="B27">
            <v>42</v>
          </cell>
        </row>
        <row r="28">
          <cell r="A28" t="str">
            <v>Serbia</v>
          </cell>
          <cell r="B28">
            <v>44</v>
          </cell>
        </row>
        <row r="29">
          <cell r="A29" t="str">
            <v>Ukraine</v>
          </cell>
          <cell r="B29">
            <v>45</v>
          </cell>
        </row>
        <row r="30">
          <cell r="A30" t="str">
            <v>Trinidad</v>
          </cell>
          <cell r="B30">
            <v>47</v>
          </cell>
        </row>
        <row r="31">
          <cell r="A31" t="str">
            <v>Ghana</v>
          </cell>
          <cell r="B31">
            <v>48</v>
          </cell>
        </row>
        <row r="32">
          <cell r="A32" t="str">
            <v>Angola</v>
          </cell>
          <cell r="B32">
            <v>57</v>
          </cell>
        </row>
        <row r="33">
          <cell r="A33" t="str">
            <v>Togo</v>
          </cell>
          <cell r="B33">
            <v>61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Star_Players</v>
          </cell>
          <cell r="C1" t="str">
            <v>Top100_Players</v>
          </cell>
        </row>
        <row r="2">
          <cell r="A2" t="str">
            <v>Brazil</v>
          </cell>
          <cell r="B2">
            <v>6</v>
          </cell>
          <cell r="C2">
            <v>8</v>
          </cell>
        </row>
        <row r="3">
          <cell r="A3" t="str">
            <v>Czech</v>
          </cell>
          <cell r="B3">
            <v>3</v>
          </cell>
          <cell r="C3">
            <v>4</v>
          </cell>
        </row>
        <row r="4">
          <cell r="A4" t="str">
            <v>Netherlands</v>
          </cell>
          <cell r="B4">
            <v>4</v>
          </cell>
          <cell r="C4">
            <v>5</v>
          </cell>
        </row>
        <row r="5">
          <cell r="A5" t="str">
            <v>Mexico</v>
          </cell>
          <cell r="B5">
            <v>2</v>
          </cell>
          <cell r="C5">
            <v>2</v>
          </cell>
        </row>
        <row r="6">
          <cell r="A6" t="str">
            <v>United States</v>
          </cell>
          <cell r="B6">
            <v>1</v>
          </cell>
          <cell r="C6">
            <v>1</v>
          </cell>
        </row>
        <row r="7">
          <cell r="A7" t="str">
            <v>Spain</v>
          </cell>
          <cell r="B7">
            <v>4</v>
          </cell>
          <cell r="C7">
            <v>5</v>
          </cell>
        </row>
        <row r="8">
          <cell r="A8" t="str">
            <v>Portugal</v>
          </cell>
          <cell r="B8">
            <v>4</v>
          </cell>
          <cell r="C8">
            <v>5</v>
          </cell>
        </row>
        <row r="9">
          <cell r="A9" t="str">
            <v>France</v>
          </cell>
          <cell r="B9">
            <v>5</v>
          </cell>
          <cell r="C9">
            <v>6</v>
          </cell>
        </row>
        <row r="10">
          <cell r="A10" t="str">
            <v>Argentina</v>
          </cell>
          <cell r="B10">
            <v>5</v>
          </cell>
          <cell r="C10">
            <v>6</v>
          </cell>
        </row>
        <row r="11">
          <cell r="A11" t="str">
            <v>England</v>
          </cell>
          <cell r="B11">
            <v>4</v>
          </cell>
          <cell r="C11">
            <v>5</v>
          </cell>
        </row>
        <row r="12">
          <cell r="A12" t="str">
            <v>Italy</v>
          </cell>
          <cell r="B12">
            <v>5</v>
          </cell>
          <cell r="C12">
            <v>6</v>
          </cell>
        </row>
        <row r="13">
          <cell r="A13" t="str">
            <v>Sweden</v>
          </cell>
          <cell r="B13">
            <v>2</v>
          </cell>
          <cell r="C13">
            <v>2</v>
          </cell>
        </row>
        <row r="14">
          <cell r="A14" t="str">
            <v>Japan</v>
          </cell>
          <cell r="B14">
            <v>1</v>
          </cell>
          <cell r="C14">
            <v>1</v>
          </cell>
        </row>
        <row r="15">
          <cell r="A15" t="str">
            <v>Germany</v>
          </cell>
          <cell r="B15">
            <v>4</v>
          </cell>
          <cell r="C15">
            <v>5</v>
          </cell>
        </row>
        <row r="16">
          <cell r="A16" t="str">
            <v>Tunisia</v>
          </cell>
          <cell r="B16">
            <v>0</v>
          </cell>
          <cell r="C16">
            <v>0</v>
          </cell>
        </row>
        <row r="17">
          <cell r="A17" t="str">
            <v>Iran</v>
          </cell>
          <cell r="B17">
            <v>0</v>
          </cell>
          <cell r="C17">
            <v>0</v>
          </cell>
        </row>
        <row r="18">
          <cell r="A18" t="str">
            <v>Croatia</v>
          </cell>
          <cell r="B18">
            <v>2</v>
          </cell>
          <cell r="C18">
            <v>2</v>
          </cell>
        </row>
        <row r="19">
          <cell r="A19" t="str">
            <v>Costa Rica</v>
          </cell>
          <cell r="B19">
            <v>0</v>
          </cell>
          <cell r="C19">
            <v>0</v>
          </cell>
        </row>
        <row r="20">
          <cell r="A20" t="str">
            <v>South Korea</v>
          </cell>
          <cell r="B20">
            <v>1</v>
          </cell>
          <cell r="C20">
            <v>1</v>
          </cell>
        </row>
        <row r="21">
          <cell r="A21" t="str">
            <v>Poland</v>
          </cell>
          <cell r="B21">
            <v>1</v>
          </cell>
          <cell r="C21">
            <v>1</v>
          </cell>
        </row>
        <row r="22">
          <cell r="A22" t="str">
            <v>Ivory Coast</v>
          </cell>
          <cell r="B22">
            <v>3</v>
          </cell>
          <cell r="C22">
            <v>3</v>
          </cell>
        </row>
        <row r="23">
          <cell r="A23" t="str">
            <v>Paraguay</v>
          </cell>
          <cell r="B23">
            <v>1</v>
          </cell>
          <cell r="C23">
            <v>1</v>
          </cell>
        </row>
        <row r="24">
          <cell r="A24" t="str">
            <v>Saudi Arabia</v>
          </cell>
          <cell r="B24">
            <v>0</v>
          </cell>
          <cell r="C24">
            <v>0</v>
          </cell>
        </row>
        <row r="25">
          <cell r="A25" t="str">
            <v>Switzerland</v>
          </cell>
          <cell r="B25">
            <v>1</v>
          </cell>
          <cell r="C25">
            <v>1</v>
          </cell>
        </row>
        <row r="26">
          <cell r="A26" t="str">
            <v>Ecuador</v>
          </cell>
          <cell r="B26">
            <v>1</v>
          </cell>
          <cell r="C26">
            <v>1</v>
          </cell>
        </row>
        <row r="27">
          <cell r="A27" t="str">
            <v>Australia</v>
          </cell>
          <cell r="B27">
            <v>1</v>
          </cell>
          <cell r="C27">
            <v>1</v>
          </cell>
        </row>
        <row r="28">
          <cell r="A28" t="str">
            <v>Serbia</v>
          </cell>
          <cell r="B28">
            <v>1</v>
          </cell>
          <cell r="C28">
            <v>1</v>
          </cell>
        </row>
        <row r="29">
          <cell r="A29" t="str">
            <v>Ukraine</v>
          </cell>
          <cell r="B29">
            <v>2</v>
          </cell>
          <cell r="C29">
            <v>2</v>
          </cell>
        </row>
        <row r="30">
          <cell r="A30" t="str">
            <v>Trinidad</v>
          </cell>
          <cell r="B30">
            <v>0</v>
          </cell>
          <cell r="C30">
            <v>0</v>
          </cell>
        </row>
        <row r="31">
          <cell r="A31" t="str">
            <v>Ghana</v>
          </cell>
          <cell r="B31">
            <v>2</v>
          </cell>
          <cell r="C31">
            <v>2</v>
          </cell>
        </row>
        <row r="32">
          <cell r="A32" t="str">
            <v>Angola</v>
          </cell>
          <cell r="B32">
            <v>0</v>
          </cell>
          <cell r="C32">
            <v>0</v>
          </cell>
        </row>
        <row r="33">
          <cell r="A33" t="str">
            <v>Togo</v>
          </cell>
          <cell r="B33">
            <v>1</v>
          </cell>
          <cell r="C33">
            <v>1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GK_rank"/>
    </sheetNames>
    <sheetDataSet>
      <sheetData sheetId="0">
        <row r="1">
          <cell r="A1" t="str">
            <v>Team</v>
          </cell>
          <cell r="B1" t="str">
            <v>GK_Rank</v>
          </cell>
        </row>
        <row r="2">
          <cell r="A2" t="str">
            <v>Italy</v>
          </cell>
          <cell r="B2">
            <v>1</v>
          </cell>
        </row>
        <row r="3">
          <cell r="A3" t="str">
            <v>Germany</v>
          </cell>
          <cell r="B3">
            <v>2</v>
          </cell>
        </row>
        <row r="4">
          <cell r="A4" t="str">
            <v>France</v>
          </cell>
          <cell r="B4">
            <v>3</v>
          </cell>
        </row>
        <row r="5">
          <cell r="A5" t="str">
            <v>Spain</v>
          </cell>
          <cell r="B5">
            <v>4</v>
          </cell>
        </row>
        <row r="6">
          <cell r="A6" t="str">
            <v>England</v>
          </cell>
          <cell r="B6">
            <v>5</v>
          </cell>
        </row>
        <row r="7">
          <cell r="A7" t="str">
            <v>Brazil</v>
          </cell>
          <cell r="B7">
            <v>6</v>
          </cell>
        </row>
        <row r="8">
          <cell r="A8" t="str">
            <v>Czech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Argentina</v>
          </cell>
          <cell r="B10">
            <v>9</v>
          </cell>
        </row>
        <row r="11">
          <cell r="A11" t="str">
            <v>Netherlands</v>
          </cell>
          <cell r="B11">
            <v>10</v>
          </cell>
        </row>
        <row r="12">
          <cell r="A12" t="str">
            <v>Sweden</v>
          </cell>
          <cell r="B12">
            <v>11</v>
          </cell>
        </row>
        <row r="13">
          <cell r="A13" t="str">
            <v>Mexico</v>
          </cell>
          <cell r="B13">
            <v>12</v>
          </cell>
        </row>
        <row r="14">
          <cell r="A14" t="str">
            <v>Switzerland</v>
          </cell>
          <cell r="B14">
            <v>13</v>
          </cell>
        </row>
        <row r="15">
          <cell r="A15" t="str">
            <v>Croatia</v>
          </cell>
          <cell r="B15">
            <v>14</v>
          </cell>
        </row>
        <row r="16">
          <cell r="A16" t="str">
            <v>Ukraine</v>
          </cell>
          <cell r="B16">
            <v>15</v>
          </cell>
        </row>
        <row r="17">
          <cell r="A17" t="str">
            <v>Poland</v>
          </cell>
          <cell r="B17">
            <v>16</v>
          </cell>
        </row>
        <row r="18">
          <cell r="A18" t="str">
            <v>Australia</v>
          </cell>
          <cell r="B18">
            <v>17</v>
          </cell>
        </row>
        <row r="19">
          <cell r="A19" t="str">
            <v>United States</v>
          </cell>
          <cell r="B19">
            <v>18</v>
          </cell>
        </row>
        <row r="20">
          <cell r="A20" t="str">
            <v>Ghana</v>
          </cell>
          <cell r="B20">
            <v>19</v>
          </cell>
        </row>
        <row r="21">
          <cell r="A21" t="str">
            <v>South Korea</v>
          </cell>
          <cell r="B21">
            <v>20</v>
          </cell>
        </row>
        <row r="22">
          <cell r="A22" t="str">
            <v>Japan</v>
          </cell>
          <cell r="B22">
            <v>21</v>
          </cell>
        </row>
        <row r="23">
          <cell r="A23" t="str">
            <v>Paraguay</v>
          </cell>
          <cell r="B23">
            <v>22</v>
          </cell>
        </row>
        <row r="24">
          <cell r="A24" t="str">
            <v>Ecuador</v>
          </cell>
          <cell r="B24">
            <v>23</v>
          </cell>
        </row>
        <row r="25">
          <cell r="A25" t="str">
            <v>Ivory Coast</v>
          </cell>
          <cell r="B25">
            <v>24</v>
          </cell>
        </row>
        <row r="26">
          <cell r="A26" t="str">
            <v>Iran</v>
          </cell>
          <cell r="B26">
            <v>25</v>
          </cell>
        </row>
        <row r="27">
          <cell r="A27" t="str">
            <v>Tunisia</v>
          </cell>
          <cell r="B27">
            <v>26</v>
          </cell>
        </row>
        <row r="28">
          <cell r="A28" t="str">
            <v>Togo</v>
          </cell>
          <cell r="B28">
            <v>27</v>
          </cell>
        </row>
        <row r="29">
          <cell r="A29" t="str">
            <v>Costa Rica</v>
          </cell>
          <cell r="B29">
            <v>28</v>
          </cell>
        </row>
        <row r="30">
          <cell r="A30" t="str">
            <v>Serbia</v>
          </cell>
          <cell r="B30">
            <v>29</v>
          </cell>
        </row>
        <row r="31">
          <cell r="A31" t="str">
            <v>Angola</v>
          </cell>
          <cell r="B31">
            <v>30</v>
          </cell>
        </row>
        <row r="32">
          <cell r="A32" t="str">
            <v>Saudi Arabia</v>
          </cell>
          <cell r="B32">
            <v>31</v>
          </cell>
        </row>
        <row r="33">
          <cell r="A33" t="str">
            <v>Trinidad</v>
          </cell>
          <cell r="B33">
            <v>32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World_Rank</v>
          </cell>
        </row>
        <row r="2">
          <cell r="A2" t="str">
            <v>Brazil</v>
          </cell>
          <cell r="B2">
            <v>1</v>
          </cell>
        </row>
        <row r="3">
          <cell r="A3" t="str">
            <v>Spain</v>
          </cell>
          <cell r="B3">
            <v>2</v>
          </cell>
        </row>
        <row r="4">
          <cell r="A4" t="str">
            <v>Portugal</v>
          </cell>
          <cell r="B4">
            <v>3</v>
          </cell>
        </row>
        <row r="5">
          <cell r="A5" t="str">
            <v>Netherlands</v>
          </cell>
          <cell r="B5">
            <v>4</v>
          </cell>
        </row>
        <row r="6">
          <cell r="A6" t="str">
            <v>Italy</v>
          </cell>
          <cell r="B6">
            <v>5</v>
          </cell>
        </row>
        <row r="7">
          <cell r="A7" t="str">
            <v>Germany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England</v>
          </cell>
          <cell r="B9">
            <v>8</v>
          </cell>
        </row>
        <row r="10">
          <cell r="A10" t="str">
            <v>France</v>
          </cell>
          <cell r="B10">
            <v>9</v>
          </cell>
        </row>
        <row r="11">
          <cell r="A11" t="str">
            <v>Greece</v>
          </cell>
          <cell r="B11">
            <v>13</v>
          </cell>
        </row>
        <row r="12">
          <cell r="A12" t="str">
            <v>United States</v>
          </cell>
          <cell r="B12">
            <v>14</v>
          </cell>
        </row>
        <row r="13">
          <cell r="A13" t="str">
            <v>Serbia</v>
          </cell>
          <cell r="B13">
            <v>15</v>
          </cell>
        </row>
        <row r="14">
          <cell r="A14" t="str">
            <v>Uruguay</v>
          </cell>
          <cell r="B14">
            <v>16</v>
          </cell>
        </row>
        <row r="15">
          <cell r="A15" t="str">
            <v>Mexico</v>
          </cell>
          <cell r="B15">
            <v>17</v>
          </cell>
        </row>
        <row r="16">
          <cell r="A16" t="str">
            <v>Chile</v>
          </cell>
          <cell r="B16">
            <v>18</v>
          </cell>
        </row>
        <row r="17">
          <cell r="A17" t="str">
            <v>Cameroon</v>
          </cell>
          <cell r="B17">
            <v>19</v>
          </cell>
        </row>
        <row r="18">
          <cell r="A18" t="str">
            <v>Australia</v>
          </cell>
          <cell r="B18">
            <v>20</v>
          </cell>
        </row>
        <row r="19">
          <cell r="A19" t="str">
            <v>Nigeria</v>
          </cell>
          <cell r="B19">
            <v>21</v>
          </cell>
        </row>
        <row r="20">
          <cell r="A20" t="str">
            <v>Switzerland</v>
          </cell>
          <cell r="B20">
            <v>24</v>
          </cell>
        </row>
        <row r="21">
          <cell r="A21" t="str">
            <v>Slovenia</v>
          </cell>
          <cell r="B21">
            <v>25</v>
          </cell>
        </row>
        <row r="22">
          <cell r="A22" t="str">
            <v>Ivory Coast</v>
          </cell>
          <cell r="B22">
            <v>27</v>
          </cell>
        </row>
        <row r="23">
          <cell r="A23" t="str">
            <v>Algeria</v>
          </cell>
          <cell r="B23">
            <v>30</v>
          </cell>
        </row>
        <row r="24">
          <cell r="A24" t="str">
            <v>Paraguay</v>
          </cell>
          <cell r="B24">
            <v>31</v>
          </cell>
        </row>
        <row r="25">
          <cell r="A25" t="str">
            <v>Ghana</v>
          </cell>
          <cell r="B25">
            <v>32</v>
          </cell>
        </row>
        <row r="26">
          <cell r="A26" t="str">
            <v>Slovakia</v>
          </cell>
          <cell r="B26">
            <v>34</v>
          </cell>
        </row>
        <row r="27">
          <cell r="A27" t="str">
            <v>Denmark</v>
          </cell>
          <cell r="B27">
            <v>36</v>
          </cell>
        </row>
        <row r="28">
          <cell r="A28" t="str">
            <v>Honduras</v>
          </cell>
          <cell r="B28">
            <v>38</v>
          </cell>
        </row>
        <row r="29">
          <cell r="A29" t="str">
            <v>Japan</v>
          </cell>
          <cell r="B29">
            <v>45</v>
          </cell>
        </row>
        <row r="30">
          <cell r="A30" t="str">
            <v>South Korea</v>
          </cell>
          <cell r="B30">
            <v>47</v>
          </cell>
        </row>
        <row r="31">
          <cell r="A31" t="str">
            <v>New Zealand</v>
          </cell>
          <cell r="B31">
            <v>78</v>
          </cell>
        </row>
        <row r="32">
          <cell r="A32" t="str">
            <v>South Africa</v>
          </cell>
          <cell r="B32">
            <v>83</v>
          </cell>
        </row>
        <row r="33">
          <cell r="A33" t="str">
            <v>North Korea</v>
          </cell>
          <cell r="B33">
            <v>105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Star_Players</v>
          </cell>
          <cell r="C1" t="str">
            <v>Top100_Players</v>
          </cell>
        </row>
        <row r="2">
          <cell r="A2" t="str">
            <v>Australia</v>
          </cell>
          <cell r="B2">
            <v>0</v>
          </cell>
          <cell r="C2">
            <v>1</v>
          </cell>
        </row>
        <row r="3">
          <cell r="A3" t="str">
            <v>Japan</v>
          </cell>
          <cell r="B3">
            <v>0</v>
          </cell>
          <cell r="C3">
            <v>0</v>
          </cell>
        </row>
        <row r="4">
          <cell r="A4" t="str">
            <v>North Korea</v>
          </cell>
          <cell r="B4">
            <v>0</v>
          </cell>
          <cell r="C4">
            <v>0</v>
          </cell>
        </row>
        <row r="5">
          <cell r="A5" t="str">
            <v>South Korea</v>
          </cell>
          <cell r="B5">
            <v>0</v>
          </cell>
          <cell r="C5">
            <v>1</v>
          </cell>
        </row>
        <row r="6">
          <cell r="A6" t="str">
            <v>Algeria</v>
          </cell>
          <cell r="B6">
            <v>0</v>
          </cell>
          <cell r="C6">
            <v>0</v>
          </cell>
        </row>
        <row r="7">
          <cell r="A7" t="str">
            <v>Cameroon</v>
          </cell>
          <cell r="B7">
            <v>1</v>
          </cell>
          <cell r="C7">
            <v>2</v>
          </cell>
        </row>
        <row r="8">
          <cell r="A8" t="str">
            <v>Ghana</v>
          </cell>
          <cell r="B8">
            <v>1</v>
          </cell>
          <cell r="C8">
            <v>2</v>
          </cell>
        </row>
        <row r="9">
          <cell r="A9" t="str">
            <v>Ivory Coast</v>
          </cell>
          <cell r="B9">
            <v>2</v>
          </cell>
          <cell r="C9">
            <v>3</v>
          </cell>
        </row>
        <row r="10">
          <cell r="A10" t="str">
            <v>Nigeria</v>
          </cell>
          <cell r="B10">
            <v>1</v>
          </cell>
          <cell r="C10">
            <v>2</v>
          </cell>
        </row>
        <row r="11">
          <cell r="A11" t="str">
            <v>South Africa</v>
          </cell>
          <cell r="B11">
            <v>0</v>
          </cell>
          <cell r="C11">
            <v>0</v>
          </cell>
        </row>
        <row r="12">
          <cell r="A12" t="str">
            <v>Honduras</v>
          </cell>
          <cell r="B12">
            <v>0</v>
          </cell>
          <cell r="C12">
            <v>0</v>
          </cell>
        </row>
        <row r="13">
          <cell r="A13" t="str">
            <v>Mexico</v>
          </cell>
          <cell r="B13">
            <v>1</v>
          </cell>
          <cell r="C13">
            <v>2</v>
          </cell>
        </row>
        <row r="14">
          <cell r="A14" t="str">
            <v>United States</v>
          </cell>
          <cell r="B14">
            <v>1</v>
          </cell>
          <cell r="C14">
            <v>1</v>
          </cell>
        </row>
        <row r="15">
          <cell r="A15" t="str">
            <v>Argentina</v>
          </cell>
          <cell r="B15">
            <v>2</v>
          </cell>
          <cell r="C15">
            <v>4</v>
          </cell>
        </row>
        <row r="16">
          <cell r="A16" t="str">
            <v>Brazil</v>
          </cell>
          <cell r="B16">
            <v>3</v>
          </cell>
          <cell r="C16">
            <v>6</v>
          </cell>
        </row>
        <row r="17">
          <cell r="A17" t="str">
            <v>Chile</v>
          </cell>
          <cell r="B17">
            <v>1</v>
          </cell>
          <cell r="C17">
            <v>2</v>
          </cell>
        </row>
        <row r="18">
          <cell r="A18" t="str">
            <v>Paraguay</v>
          </cell>
          <cell r="B18">
            <v>0</v>
          </cell>
          <cell r="C18">
            <v>1</v>
          </cell>
        </row>
        <row r="19">
          <cell r="A19" t="str">
            <v>Uruguay</v>
          </cell>
          <cell r="B19">
            <v>1</v>
          </cell>
          <cell r="C19">
            <v>2</v>
          </cell>
        </row>
        <row r="20">
          <cell r="A20" t="str">
            <v>New Zealand</v>
          </cell>
          <cell r="B20">
            <v>0</v>
          </cell>
          <cell r="C20">
            <v>0</v>
          </cell>
        </row>
        <row r="21">
          <cell r="A21" t="str">
            <v>Denmark</v>
          </cell>
          <cell r="B21">
            <v>1</v>
          </cell>
          <cell r="C21">
            <v>2</v>
          </cell>
        </row>
        <row r="22">
          <cell r="A22" t="str">
            <v>England</v>
          </cell>
          <cell r="B22">
            <v>2</v>
          </cell>
          <cell r="C22">
            <v>4</v>
          </cell>
        </row>
        <row r="23">
          <cell r="A23" t="str">
            <v>France</v>
          </cell>
          <cell r="B23">
            <v>2</v>
          </cell>
          <cell r="C23">
            <v>3</v>
          </cell>
        </row>
        <row r="24">
          <cell r="A24" t="str">
            <v>Germany</v>
          </cell>
          <cell r="B24">
            <v>2</v>
          </cell>
          <cell r="C24">
            <v>4</v>
          </cell>
        </row>
        <row r="25">
          <cell r="A25" t="str">
            <v>Greece</v>
          </cell>
          <cell r="B25">
            <v>0</v>
          </cell>
          <cell r="C25">
            <v>1</v>
          </cell>
        </row>
        <row r="26">
          <cell r="A26" t="str">
            <v>Italy</v>
          </cell>
          <cell r="B26">
            <v>2</v>
          </cell>
          <cell r="C26">
            <v>3</v>
          </cell>
        </row>
        <row r="27">
          <cell r="A27" t="str">
            <v>Netherlands</v>
          </cell>
          <cell r="B27">
            <v>3</v>
          </cell>
          <cell r="C27">
            <v>5</v>
          </cell>
        </row>
        <row r="28">
          <cell r="A28" t="str">
            <v>Portugal</v>
          </cell>
          <cell r="B28">
            <v>2</v>
          </cell>
          <cell r="C28">
            <v>4</v>
          </cell>
        </row>
        <row r="29">
          <cell r="A29" t="str">
            <v>Serbia</v>
          </cell>
          <cell r="B29">
            <v>0</v>
          </cell>
          <cell r="C29">
            <v>1</v>
          </cell>
        </row>
        <row r="30">
          <cell r="A30" t="str">
            <v>Slovakia</v>
          </cell>
          <cell r="B30">
            <v>0</v>
          </cell>
          <cell r="C30">
            <v>0</v>
          </cell>
        </row>
        <row r="31">
          <cell r="A31" t="str">
            <v>Slovenia</v>
          </cell>
          <cell r="B31">
            <v>0</v>
          </cell>
          <cell r="C31">
            <v>0</v>
          </cell>
        </row>
        <row r="32">
          <cell r="A32" t="str">
            <v>Spain</v>
          </cell>
          <cell r="B32">
            <v>4</v>
          </cell>
          <cell r="C32">
            <v>6</v>
          </cell>
        </row>
        <row r="33">
          <cell r="A33" t="str">
            <v>Switzerland</v>
          </cell>
          <cell r="B33">
            <v>0</v>
          </cell>
          <cell r="C33">
            <v>1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GK_Rank</v>
          </cell>
        </row>
        <row r="2">
          <cell r="A2" t="str">
            <v>Spain</v>
          </cell>
          <cell r="B2">
            <v>1</v>
          </cell>
        </row>
        <row r="3">
          <cell r="A3" t="str">
            <v>Brazil</v>
          </cell>
          <cell r="B3">
            <v>2</v>
          </cell>
        </row>
        <row r="4">
          <cell r="A4" t="str">
            <v>Netherlands</v>
          </cell>
          <cell r="B4">
            <v>4</v>
          </cell>
        </row>
        <row r="5">
          <cell r="A5" t="str">
            <v>Uruguay</v>
          </cell>
          <cell r="B5">
            <v>7</v>
          </cell>
        </row>
        <row r="6">
          <cell r="A6" t="str">
            <v>Italy</v>
          </cell>
          <cell r="B6">
            <v>9</v>
          </cell>
        </row>
        <row r="7">
          <cell r="A7" t="str">
            <v>USA</v>
          </cell>
          <cell r="B7">
            <v>10</v>
          </cell>
        </row>
        <row r="8">
          <cell r="A8" t="str">
            <v>Germany</v>
          </cell>
          <cell r="B8">
            <v>11</v>
          </cell>
        </row>
        <row r="9">
          <cell r="A9" t="str">
            <v>England</v>
          </cell>
          <cell r="B9">
            <v>12</v>
          </cell>
        </row>
        <row r="10">
          <cell r="A10" t="str">
            <v>France</v>
          </cell>
          <cell r="B10">
            <v>13</v>
          </cell>
        </row>
        <row r="11">
          <cell r="A11" t="str">
            <v>Mexico</v>
          </cell>
          <cell r="B11">
            <v>14</v>
          </cell>
        </row>
        <row r="12">
          <cell r="A12" t="str">
            <v>Argentina</v>
          </cell>
          <cell r="B12">
            <v>15</v>
          </cell>
        </row>
        <row r="13">
          <cell r="A13" t="str">
            <v>Ghana</v>
          </cell>
          <cell r="B13">
            <v>16</v>
          </cell>
        </row>
        <row r="14">
          <cell r="A14" t="str">
            <v>Cameroon</v>
          </cell>
          <cell r="B14">
            <v>17</v>
          </cell>
        </row>
        <row r="15">
          <cell r="A15" t="str">
            <v>Paraguay</v>
          </cell>
          <cell r="B15">
            <v>18</v>
          </cell>
        </row>
        <row r="16">
          <cell r="A16" t="str">
            <v>Chile</v>
          </cell>
          <cell r="B16">
            <v>19</v>
          </cell>
        </row>
        <row r="17">
          <cell r="A17" t="str">
            <v>South Korea</v>
          </cell>
          <cell r="B17">
            <v>20</v>
          </cell>
        </row>
        <row r="18">
          <cell r="A18" t="str">
            <v>Denmark</v>
          </cell>
          <cell r="B18">
            <v>21</v>
          </cell>
        </row>
        <row r="19">
          <cell r="A19" t="str">
            <v>Algeria</v>
          </cell>
          <cell r="B19">
            <v>22</v>
          </cell>
        </row>
        <row r="20">
          <cell r="A20" t="str">
            <v>Slovenia</v>
          </cell>
          <cell r="B20">
            <v>23</v>
          </cell>
        </row>
        <row r="21">
          <cell r="A21" t="str">
            <v>Switzerland</v>
          </cell>
          <cell r="B21">
            <v>24</v>
          </cell>
        </row>
        <row r="22">
          <cell r="A22" t="str">
            <v>Japan</v>
          </cell>
          <cell r="B22">
            <v>25</v>
          </cell>
        </row>
        <row r="23">
          <cell r="A23" t="str">
            <v>Slovakia</v>
          </cell>
          <cell r="B23">
            <v>26</v>
          </cell>
        </row>
        <row r="24">
          <cell r="A24" t="str">
            <v>Honduras</v>
          </cell>
          <cell r="B24">
            <v>27</v>
          </cell>
        </row>
        <row r="25">
          <cell r="A25" t="str">
            <v>North Korea</v>
          </cell>
          <cell r="B25">
            <v>28</v>
          </cell>
        </row>
        <row r="26">
          <cell r="A26" t="str">
            <v>South Africa</v>
          </cell>
          <cell r="B26">
            <v>29</v>
          </cell>
        </row>
        <row r="27">
          <cell r="A27" t="str">
            <v>New Zealand</v>
          </cell>
          <cell r="B27">
            <v>30</v>
          </cell>
        </row>
        <row r="28">
          <cell r="A28" t="str">
            <v>Australia</v>
          </cell>
          <cell r="B28">
            <v>9</v>
          </cell>
        </row>
        <row r="29">
          <cell r="A29" t="str">
            <v>Greece</v>
          </cell>
          <cell r="B29">
            <v>19</v>
          </cell>
        </row>
        <row r="30">
          <cell r="A30" t="str">
            <v>Nigeria</v>
          </cell>
          <cell r="B30">
            <v>31</v>
          </cell>
        </row>
        <row r="31">
          <cell r="A31" t="str">
            <v>United States</v>
          </cell>
          <cell r="B31">
            <v>15</v>
          </cell>
        </row>
        <row r="32">
          <cell r="A32" t="str">
            <v>Serbia</v>
          </cell>
          <cell r="B32">
            <v>25</v>
          </cell>
        </row>
        <row r="33">
          <cell r="A33" t="str">
            <v>Ivory Coast</v>
          </cell>
          <cell r="B33">
            <v>18</v>
          </cell>
        </row>
        <row r="34">
          <cell r="A34" t="str">
            <v>Portugal</v>
          </cell>
          <cell r="B34">
            <v>8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FIFA Rank (2014)</v>
          </cell>
        </row>
        <row r="2">
          <cell r="A2" t="str">
            <v>Brazil</v>
          </cell>
          <cell r="B2">
            <v>3</v>
          </cell>
        </row>
        <row r="3">
          <cell r="A3" t="str">
            <v>Spain</v>
          </cell>
          <cell r="B3">
            <v>1</v>
          </cell>
        </row>
        <row r="4">
          <cell r="A4" t="str">
            <v>Germany</v>
          </cell>
          <cell r="B4">
            <v>2</v>
          </cell>
        </row>
        <row r="5">
          <cell r="A5" t="str">
            <v>Argentina</v>
          </cell>
          <cell r="B5">
            <v>5</v>
          </cell>
        </row>
        <row r="6">
          <cell r="A6" t="str">
            <v>Colombia</v>
          </cell>
          <cell r="B6">
            <v>8</v>
          </cell>
        </row>
        <row r="7">
          <cell r="A7" t="str">
            <v>Uruguay</v>
          </cell>
          <cell r="B7">
            <v>7</v>
          </cell>
        </row>
        <row r="8">
          <cell r="A8" t="str">
            <v>Belgium</v>
          </cell>
          <cell r="B8">
            <v>11</v>
          </cell>
        </row>
        <row r="9">
          <cell r="A9" t="str">
            <v>Switzerland</v>
          </cell>
          <cell r="B9">
            <v>6</v>
          </cell>
        </row>
        <row r="10">
          <cell r="A10" t="str">
            <v>Italy</v>
          </cell>
          <cell r="B10">
            <v>9</v>
          </cell>
        </row>
        <row r="11">
          <cell r="A11" t="str">
            <v>England</v>
          </cell>
          <cell r="B11">
            <v>10</v>
          </cell>
        </row>
        <row r="12">
          <cell r="A12" t="str">
            <v>France</v>
          </cell>
          <cell r="B12">
            <v>17</v>
          </cell>
        </row>
        <row r="13">
          <cell r="A13" t="str">
            <v>Portugal</v>
          </cell>
          <cell r="B13">
            <v>4</v>
          </cell>
        </row>
        <row r="14">
          <cell r="A14" t="str">
            <v>Netherlands</v>
          </cell>
          <cell r="B14">
            <v>15</v>
          </cell>
        </row>
        <row r="15">
          <cell r="A15" t="str">
            <v>Russia</v>
          </cell>
          <cell r="B15">
            <v>19</v>
          </cell>
        </row>
        <row r="16">
          <cell r="A16" t="str">
            <v>Greece</v>
          </cell>
          <cell r="B16">
            <v>12</v>
          </cell>
        </row>
        <row r="17">
          <cell r="A17" t="str">
            <v>Croatia</v>
          </cell>
          <cell r="B17">
            <v>18</v>
          </cell>
        </row>
        <row r="18">
          <cell r="A18" t="str">
            <v>Bosnia</v>
          </cell>
          <cell r="B18">
            <v>21</v>
          </cell>
        </row>
        <row r="19">
          <cell r="A19" t="str">
            <v>Mexico</v>
          </cell>
          <cell r="B19">
            <v>20</v>
          </cell>
        </row>
        <row r="20">
          <cell r="A20" t="str">
            <v>United States</v>
          </cell>
          <cell r="B20">
            <v>13</v>
          </cell>
        </row>
        <row r="21">
          <cell r="A21" t="str">
            <v>Costa Rica</v>
          </cell>
          <cell r="B21">
            <v>28</v>
          </cell>
        </row>
        <row r="22">
          <cell r="A22" t="str">
            <v>Honduras</v>
          </cell>
          <cell r="B22">
            <v>33</v>
          </cell>
        </row>
        <row r="23">
          <cell r="A23" t="str">
            <v>Chile</v>
          </cell>
          <cell r="B23">
            <v>14</v>
          </cell>
        </row>
        <row r="24">
          <cell r="A24" t="str">
            <v>Ecuador</v>
          </cell>
          <cell r="B24">
            <v>26</v>
          </cell>
        </row>
        <row r="25">
          <cell r="A25" t="str">
            <v>Nigeria</v>
          </cell>
          <cell r="B25">
            <v>44</v>
          </cell>
        </row>
        <row r="26">
          <cell r="A26" t="str">
            <v>Ghana</v>
          </cell>
          <cell r="B26">
            <v>37</v>
          </cell>
        </row>
        <row r="27">
          <cell r="A27" t="str">
            <v>Ivory Coast</v>
          </cell>
          <cell r="B27">
            <v>23</v>
          </cell>
        </row>
        <row r="28">
          <cell r="A28" t="str">
            <v>Algeria</v>
          </cell>
          <cell r="B28">
            <v>22</v>
          </cell>
        </row>
        <row r="29">
          <cell r="A29" t="str">
            <v>Cameroon</v>
          </cell>
          <cell r="B29">
            <v>56</v>
          </cell>
        </row>
        <row r="30">
          <cell r="A30" t="str">
            <v>Japan</v>
          </cell>
          <cell r="B30">
            <v>46</v>
          </cell>
        </row>
        <row r="31">
          <cell r="A31" t="str">
            <v>South Korea</v>
          </cell>
          <cell r="B31">
            <v>57</v>
          </cell>
        </row>
        <row r="32">
          <cell r="A32" t="str">
            <v>Iran</v>
          </cell>
          <cell r="B32">
            <v>43</v>
          </cell>
        </row>
        <row r="33">
          <cell r="A33" t="str">
            <v>Australia</v>
          </cell>
          <cell r="B33">
            <v>62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Star_Players</v>
          </cell>
          <cell r="C1" t="str">
            <v>Top100_Players</v>
          </cell>
        </row>
        <row r="2">
          <cell r="A2" t="str">
            <v>Brazil</v>
          </cell>
          <cell r="B2">
            <v>2</v>
          </cell>
          <cell r="C2">
            <v>5</v>
          </cell>
        </row>
        <row r="3">
          <cell r="A3" t="str">
            <v>Spain</v>
          </cell>
          <cell r="B3">
            <v>3</v>
          </cell>
          <cell r="C3">
            <v>6</v>
          </cell>
        </row>
        <row r="4">
          <cell r="A4" t="str">
            <v>Germany</v>
          </cell>
          <cell r="B4">
            <v>2</v>
          </cell>
          <cell r="C4">
            <v>4</v>
          </cell>
        </row>
        <row r="5">
          <cell r="A5" t="str">
            <v>Argentina</v>
          </cell>
          <cell r="B5">
            <v>2</v>
          </cell>
          <cell r="C5">
            <v>4</v>
          </cell>
        </row>
        <row r="6">
          <cell r="A6" t="str">
            <v>Colombia</v>
          </cell>
          <cell r="B6">
            <v>1</v>
          </cell>
          <cell r="C6">
            <v>2</v>
          </cell>
        </row>
        <row r="7">
          <cell r="A7" t="str">
            <v>Uruguay</v>
          </cell>
          <cell r="B7">
            <v>1</v>
          </cell>
          <cell r="C7">
            <v>2</v>
          </cell>
        </row>
        <row r="8">
          <cell r="A8" t="str">
            <v>Belgium</v>
          </cell>
          <cell r="B8">
            <v>1</v>
          </cell>
          <cell r="C8">
            <v>3</v>
          </cell>
        </row>
        <row r="9">
          <cell r="A9" t="str">
            <v>Switzerland</v>
          </cell>
          <cell r="B9">
            <v>0</v>
          </cell>
          <cell r="C9">
            <v>1</v>
          </cell>
        </row>
        <row r="10">
          <cell r="A10" t="str">
            <v>Italy</v>
          </cell>
          <cell r="B10">
            <v>1</v>
          </cell>
          <cell r="C10">
            <v>2</v>
          </cell>
        </row>
        <row r="11">
          <cell r="A11" t="str">
            <v>England</v>
          </cell>
          <cell r="B11">
            <v>1</v>
          </cell>
          <cell r="C11">
            <v>2</v>
          </cell>
        </row>
        <row r="12">
          <cell r="A12" t="str">
            <v>France</v>
          </cell>
          <cell r="B12">
            <v>1</v>
          </cell>
          <cell r="C12">
            <v>3</v>
          </cell>
        </row>
        <row r="13">
          <cell r="A13" t="str">
            <v>Portugal</v>
          </cell>
          <cell r="B13">
            <v>1</v>
          </cell>
          <cell r="C13">
            <v>3</v>
          </cell>
        </row>
        <row r="14">
          <cell r="A14" t="str">
            <v>Netherlands</v>
          </cell>
          <cell r="B14">
            <v>2</v>
          </cell>
          <cell r="C14">
            <v>4</v>
          </cell>
        </row>
        <row r="15">
          <cell r="A15" t="str">
            <v>Russia</v>
          </cell>
          <cell r="B15">
            <v>0</v>
          </cell>
          <cell r="C15">
            <v>1</v>
          </cell>
        </row>
        <row r="16">
          <cell r="A16" t="str">
            <v>Greece</v>
          </cell>
          <cell r="B16">
            <v>0</v>
          </cell>
          <cell r="C16">
            <v>1</v>
          </cell>
        </row>
        <row r="17">
          <cell r="A17" t="str">
            <v>Croatia</v>
          </cell>
          <cell r="B17">
            <v>0</v>
          </cell>
          <cell r="C17">
            <v>1</v>
          </cell>
        </row>
        <row r="18">
          <cell r="A18" t="str">
            <v>Bosnia</v>
          </cell>
          <cell r="B18">
            <v>0</v>
          </cell>
          <cell r="C18">
            <v>1</v>
          </cell>
        </row>
        <row r="19">
          <cell r="A19" t="str">
            <v>Mexico</v>
          </cell>
          <cell r="B19">
            <v>0</v>
          </cell>
          <cell r="C19">
            <v>1</v>
          </cell>
        </row>
        <row r="20">
          <cell r="A20" t="str">
            <v>United States</v>
          </cell>
          <cell r="B20">
            <v>0</v>
          </cell>
          <cell r="C20">
            <v>1</v>
          </cell>
        </row>
        <row r="21">
          <cell r="A21" t="str">
            <v>Costa Rica</v>
          </cell>
          <cell r="B21">
            <v>0</v>
          </cell>
          <cell r="C21">
            <v>1</v>
          </cell>
        </row>
        <row r="22">
          <cell r="A22" t="str">
            <v>Honduras</v>
          </cell>
          <cell r="B22">
            <v>0</v>
          </cell>
          <cell r="C22">
            <v>0</v>
          </cell>
        </row>
        <row r="23">
          <cell r="A23" t="str">
            <v>Chile</v>
          </cell>
          <cell r="B23">
            <v>1</v>
          </cell>
          <cell r="C23">
            <v>2</v>
          </cell>
        </row>
        <row r="24">
          <cell r="A24" t="str">
            <v>Ecuador</v>
          </cell>
          <cell r="B24">
            <v>0</v>
          </cell>
          <cell r="C24">
            <v>1</v>
          </cell>
        </row>
        <row r="25">
          <cell r="A25" t="str">
            <v>Nigeria</v>
          </cell>
          <cell r="B25">
            <v>0</v>
          </cell>
          <cell r="C25">
            <v>1</v>
          </cell>
        </row>
        <row r="26">
          <cell r="A26" t="str">
            <v>Ghana</v>
          </cell>
          <cell r="B26">
            <v>0</v>
          </cell>
          <cell r="C26">
            <v>1</v>
          </cell>
        </row>
        <row r="27">
          <cell r="A27" t="str">
            <v>Ivory Coast</v>
          </cell>
          <cell r="B27">
            <v>1</v>
          </cell>
          <cell r="C27">
            <v>2</v>
          </cell>
        </row>
        <row r="28">
          <cell r="A28" t="str">
            <v>Algeria</v>
          </cell>
          <cell r="B28">
            <v>0</v>
          </cell>
          <cell r="C28">
            <v>1</v>
          </cell>
        </row>
        <row r="29">
          <cell r="A29" t="str">
            <v>Cameroon</v>
          </cell>
          <cell r="B29">
            <v>0</v>
          </cell>
          <cell r="C29">
            <v>0</v>
          </cell>
        </row>
        <row r="30">
          <cell r="A30" t="str">
            <v>Japan</v>
          </cell>
          <cell r="B30">
            <v>0</v>
          </cell>
          <cell r="C30">
            <v>1</v>
          </cell>
        </row>
        <row r="31">
          <cell r="A31" t="str">
            <v>South Korea</v>
          </cell>
          <cell r="B31">
            <v>0</v>
          </cell>
          <cell r="C31">
            <v>0</v>
          </cell>
        </row>
        <row r="32">
          <cell r="A32" t="str">
            <v>Iran</v>
          </cell>
          <cell r="B32">
            <v>0</v>
          </cell>
          <cell r="C32">
            <v>0</v>
          </cell>
        </row>
        <row r="33">
          <cell r="A33" t="str">
            <v>Australia</v>
          </cell>
          <cell r="B33">
            <v>0</v>
          </cell>
          <cell r="C33">
            <v>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GK_Rank</v>
          </cell>
        </row>
        <row r="2">
          <cell r="A2" t="str">
            <v>Germany</v>
          </cell>
          <cell r="B2">
            <v>1</v>
          </cell>
        </row>
        <row r="3">
          <cell r="A3" t="str">
            <v>Italy</v>
          </cell>
          <cell r="B3">
            <v>2</v>
          </cell>
        </row>
        <row r="4">
          <cell r="A4" t="str">
            <v>Spain</v>
          </cell>
          <cell r="B4">
            <v>3</v>
          </cell>
        </row>
        <row r="5">
          <cell r="A5" t="str">
            <v>France</v>
          </cell>
          <cell r="B5">
            <v>4</v>
          </cell>
        </row>
        <row r="6">
          <cell r="A6" t="str">
            <v>Brazil</v>
          </cell>
          <cell r="B6">
            <v>5</v>
          </cell>
        </row>
        <row r="7">
          <cell r="A7" t="str">
            <v>Argentina</v>
          </cell>
          <cell r="B7">
            <v>6</v>
          </cell>
        </row>
        <row r="8">
          <cell r="A8" t="str">
            <v>Netherlands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Belgium</v>
          </cell>
          <cell r="B10">
            <v>9</v>
          </cell>
        </row>
        <row r="11">
          <cell r="A11" t="str">
            <v>England</v>
          </cell>
          <cell r="B11">
            <v>10</v>
          </cell>
        </row>
        <row r="12">
          <cell r="A12" t="str">
            <v>Switzerland</v>
          </cell>
          <cell r="B12">
            <v>11</v>
          </cell>
        </row>
        <row r="13">
          <cell r="A13" t="str">
            <v>Colombia</v>
          </cell>
          <cell r="B13">
            <v>12</v>
          </cell>
        </row>
        <row r="14">
          <cell r="A14" t="str">
            <v>Uruguay</v>
          </cell>
          <cell r="B14">
            <v>13</v>
          </cell>
        </row>
        <row r="15">
          <cell r="A15" t="str">
            <v>Chile</v>
          </cell>
          <cell r="B15">
            <v>14</v>
          </cell>
        </row>
        <row r="16">
          <cell r="A16" t="str">
            <v>Mexico</v>
          </cell>
          <cell r="B16">
            <v>15</v>
          </cell>
        </row>
        <row r="17">
          <cell r="A17" t="str">
            <v>United States</v>
          </cell>
          <cell r="B17">
            <v>16</v>
          </cell>
        </row>
        <row r="18">
          <cell r="A18" t="str">
            <v>Greece</v>
          </cell>
          <cell r="B18">
            <v>17</v>
          </cell>
        </row>
        <row r="19">
          <cell r="A19" t="str">
            <v>Croatia</v>
          </cell>
          <cell r="B19">
            <v>18</v>
          </cell>
        </row>
        <row r="20">
          <cell r="A20" t="str">
            <v>Bosnia</v>
          </cell>
          <cell r="B20">
            <v>19</v>
          </cell>
        </row>
        <row r="21">
          <cell r="A21" t="str">
            <v>Costa Rica</v>
          </cell>
          <cell r="B21">
            <v>20</v>
          </cell>
        </row>
        <row r="22">
          <cell r="A22" t="str">
            <v>Russia</v>
          </cell>
          <cell r="B22">
            <v>21</v>
          </cell>
        </row>
        <row r="23">
          <cell r="A23" t="str">
            <v>Ecuador</v>
          </cell>
          <cell r="B23">
            <v>22</v>
          </cell>
        </row>
        <row r="24">
          <cell r="A24" t="str">
            <v>Nigeria</v>
          </cell>
          <cell r="B24">
            <v>23</v>
          </cell>
        </row>
        <row r="25">
          <cell r="A25" t="str">
            <v>Ghana</v>
          </cell>
          <cell r="B25">
            <v>24</v>
          </cell>
        </row>
        <row r="26">
          <cell r="A26" t="str">
            <v>Ivory Coast</v>
          </cell>
          <cell r="B26">
            <v>25</v>
          </cell>
        </row>
        <row r="27">
          <cell r="A27" t="str">
            <v>Algeria</v>
          </cell>
          <cell r="B27">
            <v>26</v>
          </cell>
        </row>
        <row r="28">
          <cell r="A28" t="str">
            <v>Japan</v>
          </cell>
          <cell r="B28">
            <v>27</v>
          </cell>
        </row>
        <row r="29">
          <cell r="A29" t="str">
            <v>South Korea</v>
          </cell>
          <cell r="B29">
            <v>28</v>
          </cell>
        </row>
        <row r="30">
          <cell r="A30" t="str">
            <v>Iran</v>
          </cell>
          <cell r="B30">
            <v>29</v>
          </cell>
        </row>
        <row r="31">
          <cell r="A31" t="str">
            <v>Honduras</v>
          </cell>
          <cell r="B31">
            <v>30</v>
          </cell>
        </row>
        <row r="32">
          <cell r="A32" t="str">
            <v>Cameroon</v>
          </cell>
          <cell r="B32">
            <v>31</v>
          </cell>
        </row>
        <row r="33">
          <cell r="A33" t="str">
            <v>Australia</v>
          </cell>
          <cell r="B33">
            <v>32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FIFA Rank</v>
          </cell>
        </row>
        <row r="2">
          <cell r="A2" t="str">
            <v>Germany</v>
          </cell>
          <cell r="B2">
            <v>1</v>
          </cell>
        </row>
        <row r="3">
          <cell r="A3" t="str">
            <v>Brazil</v>
          </cell>
          <cell r="B3">
            <v>2</v>
          </cell>
        </row>
        <row r="4">
          <cell r="A4" t="str">
            <v>Belgium</v>
          </cell>
          <cell r="B4">
            <v>3</v>
          </cell>
        </row>
        <row r="5">
          <cell r="A5" t="str">
            <v>Portugal</v>
          </cell>
          <cell r="B5">
            <v>4</v>
          </cell>
        </row>
        <row r="6">
          <cell r="A6" t="str">
            <v>Argentina</v>
          </cell>
          <cell r="B6">
            <v>5</v>
          </cell>
        </row>
        <row r="7">
          <cell r="A7" t="str">
            <v>Switzerland</v>
          </cell>
          <cell r="B7">
            <v>6</v>
          </cell>
        </row>
        <row r="8">
          <cell r="A8" t="str">
            <v>France</v>
          </cell>
          <cell r="B8">
            <v>7</v>
          </cell>
        </row>
        <row r="9">
          <cell r="A9" t="str">
            <v>Poland</v>
          </cell>
          <cell r="B9">
            <v>8</v>
          </cell>
        </row>
        <row r="10">
          <cell r="A10" t="str">
            <v>Spain</v>
          </cell>
          <cell r="B10">
            <v>10</v>
          </cell>
        </row>
        <row r="11">
          <cell r="A11" t="str">
            <v>Peru</v>
          </cell>
          <cell r="B11">
            <v>11</v>
          </cell>
        </row>
        <row r="12">
          <cell r="A12" t="str">
            <v>Denmark</v>
          </cell>
          <cell r="B12">
            <v>12</v>
          </cell>
        </row>
        <row r="13">
          <cell r="A13" t="str">
            <v>England</v>
          </cell>
          <cell r="B13">
            <v>12</v>
          </cell>
        </row>
        <row r="14">
          <cell r="A14" t="str">
            <v>Uruguay</v>
          </cell>
          <cell r="B14">
            <v>14</v>
          </cell>
        </row>
        <row r="15">
          <cell r="A15" t="str">
            <v>Mexico</v>
          </cell>
          <cell r="B15">
            <v>15</v>
          </cell>
        </row>
        <row r="16">
          <cell r="A16" t="str">
            <v>Colombia</v>
          </cell>
          <cell r="B16">
            <v>16</v>
          </cell>
        </row>
        <row r="17">
          <cell r="A17" t="str">
            <v>Croatia</v>
          </cell>
          <cell r="B17">
            <v>20</v>
          </cell>
        </row>
        <row r="18">
          <cell r="A18" t="str">
            <v>Tunisia</v>
          </cell>
          <cell r="B18">
            <v>21</v>
          </cell>
        </row>
        <row r="19">
          <cell r="A19" t="str">
            <v>Iceland</v>
          </cell>
          <cell r="B19">
            <v>22</v>
          </cell>
        </row>
        <row r="20">
          <cell r="A20" t="str">
            <v>Costa Rica</v>
          </cell>
          <cell r="B20">
            <v>23</v>
          </cell>
        </row>
        <row r="21">
          <cell r="A21" t="str">
            <v>Sweden</v>
          </cell>
          <cell r="B21">
            <v>24</v>
          </cell>
        </row>
        <row r="22">
          <cell r="A22" t="str">
            <v>Senegal</v>
          </cell>
          <cell r="B22">
            <v>27</v>
          </cell>
        </row>
        <row r="23">
          <cell r="A23" t="str">
            <v>Serbia</v>
          </cell>
          <cell r="B23">
            <v>34</v>
          </cell>
        </row>
        <row r="24">
          <cell r="A24" t="str">
            <v>Australia</v>
          </cell>
          <cell r="B24">
            <v>36</v>
          </cell>
        </row>
        <row r="25">
          <cell r="A25" t="str">
            <v>Iran</v>
          </cell>
          <cell r="B25">
            <v>37</v>
          </cell>
        </row>
        <row r="26">
          <cell r="A26" t="str">
            <v>Morocco</v>
          </cell>
          <cell r="B26">
            <v>41</v>
          </cell>
        </row>
        <row r="27">
          <cell r="A27" t="str">
            <v>Egypt</v>
          </cell>
          <cell r="B27">
            <v>45</v>
          </cell>
        </row>
        <row r="28">
          <cell r="A28" t="str">
            <v>Nigeria</v>
          </cell>
          <cell r="B28">
            <v>48</v>
          </cell>
        </row>
        <row r="29">
          <cell r="A29" t="str">
            <v>Panama</v>
          </cell>
          <cell r="B29">
            <v>55</v>
          </cell>
        </row>
        <row r="30">
          <cell r="A30" t="str">
            <v>South Korea</v>
          </cell>
          <cell r="B30">
            <v>57</v>
          </cell>
        </row>
        <row r="31">
          <cell r="A31" t="str">
            <v>Japan</v>
          </cell>
          <cell r="B31">
            <v>61</v>
          </cell>
        </row>
        <row r="32">
          <cell r="A32" t="str">
            <v>Saudi Arabia</v>
          </cell>
          <cell r="B32">
            <v>67</v>
          </cell>
        </row>
        <row r="33">
          <cell r="A33" t="str">
            <v>Russia</v>
          </cell>
          <cell r="B33">
            <v>70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Star_Players</v>
          </cell>
          <cell r="C1" t="str">
            <v>Top_100_Players</v>
          </cell>
        </row>
        <row r="2">
          <cell r="A2" t="str">
            <v>Germany</v>
          </cell>
          <cell r="B2">
            <v>6</v>
          </cell>
          <cell r="C2">
            <v>9</v>
          </cell>
        </row>
        <row r="3">
          <cell r="A3" t="str">
            <v>Brazil</v>
          </cell>
          <cell r="B3">
            <v>7</v>
          </cell>
          <cell r="C3">
            <v>10</v>
          </cell>
        </row>
        <row r="4">
          <cell r="A4" t="str">
            <v>Belgium</v>
          </cell>
          <cell r="B4">
            <v>6</v>
          </cell>
          <cell r="C4">
            <v>8</v>
          </cell>
        </row>
        <row r="5">
          <cell r="A5" t="str">
            <v>Portugal</v>
          </cell>
          <cell r="B5">
            <v>3</v>
          </cell>
          <cell r="C5">
            <v>4</v>
          </cell>
        </row>
        <row r="6">
          <cell r="A6" t="str">
            <v>Argentina</v>
          </cell>
          <cell r="B6">
            <v>4</v>
          </cell>
          <cell r="C6">
            <v>5</v>
          </cell>
        </row>
        <row r="7">
          <cell r="A7" t="str">
            <v>Switzerland</v>
          </cell>
          <cell r="B7">
            <v>2</v>
          </cell>
          <cell r="C7">
            <v>3</v>
          </cell>
        </row>
        <row r="8">
          <cell r="A8" t="str">
            <v>France</v>
          </cell>
          <cell r="B8">
            <v>6</v>
          </cell>
          <cell r="C8">
            <v>8</v>
          </cell>
        </row>
        <row r="9">
          <cell r="A9" t="str">
            <v>Poland</v>
          </cell>
          <cell r="B9">
            <v>2</v>
          </cell>
          <cell r="C9">
            <v>2</v>
          </cell>
        </row>
        <row r="10">
          <cell r="A10" t="str">
            <v>Spain</v>
          </cell>
          <cell r="B10">
            <v>6</v>
          </cell>
          <cell r="C10">
            <v>9</v>
          </cell>
        </row>
        <row r="11">
          <cell r="A11" t="str">
            <v>Peru</v>
          </cell>
          <cell r="B11">
            <v>1</v>
          </cell>
          <cell r="C11">
            <v>1</v>
          </cell>
        </row>
        <row r="12">
          <cell r="A12" t="str">
            <v>Denmark</v>
          </cell>
          <cell r="B12">
            <v>2</v>
          </cell>
          <cell r="C12">
            <v>2</v>
          </cell>
        </row>
        <row r="13">
          <cell r="A13" t="str">
            <v>England</v>
          </cell>
          <cell r="B13">
            <v>4</v>
          </cell>
          <cell r="C13">
            <v>6</v>
          </cell>
        </row>
        <row r="14">
          <cell r="A14" t="str">
            <v>Uruguay</v>
          </cell>
          <cell r="B14">
            <v>3</v>
          </cell>
          <cell r="C14">
            <v>4</v>
          </cell>
        </row>
        <row r="15">
          <cell r="A15" t="str">
            <v>Mexico</v>
          </cell>
          <cell r="B15">
            <v>2</v>
          </cell>
          <cell r="C15">
            <v>2</v>
          </cell>
        </row>
        <row r="16">
          <cell r="A16" t="str">
            <v>Colombia</v>
          </cell>
          <cell r="B16">
            <v>3</v>
          </cell>
          <cell r="C16">
            <v>4</v>
          </cell>
        </row>
        <row r="17">
          <cell r="A17" t="str">
            <v>Croatia</v>
          </cell>
          <cell r="B17">
            <v>4</v>
          </cell>
          <cell r="C17">
            <v>5</v>
          </cell>
        </row>
        <row r="18">
          <cell r="A18" t="str">
            <v>Tunisia</v>
          </cell>
          <cell r="B18">
            <v>1</v>
          </cell>
          <cell r="C18">
            <v>0</v>
          </cell>
        </row>
        <row r="19">
          <cell r="A19" t="str">
            <v>Iceland</v>
          </cell>
          <cell r="B19">
            <v>1</v>
          </cell>
          <cell r="C19">
            <v>0</v>
          </cell>
        </row>
        <row r="20">
          <cell r="A20" t="str">
            <v>Costa Rica</v>
          </cell>
          <cell r="B20">
            <v>2</v>
          </cell>
          <cell r="C20">
            <v>2</v>
          </cell>
        </row>
        <row r="21">
          <cell r="A21" t="str">
            <v>Sweden</v>
          </cell>
          <cell r="B21">
            <v>2</v>
          </cell>
          <cell r="C21">
            <v>2</v>
          </cell>
        </row>
        <row r="22">
          <cell r="A22" t="str">
            <v>Senegal</v>
          </cell>
          <cell r="B22">
            <v>2</v>
          </cell>
          <cell r="C22">
            <v>2</v>
          </cell>
        </row>
        <row r="23">
          <cell r="A23" t="str">
            <v>Serbia</v>
          </cell>
          <cell r="B23">
            <v>1</v>
          </cell>
          <cell r="C23">
            <v>1</v>
          </cell>
        </row>
        <row r="24">
          <cell r="A24" t="str">
            <v>Australia</v>
          </cell>
          <cell r="B24">
            <v>1</v>
          </cell>
          <cell r="C24">
            <v>0</v>
          </cell>
        </row>
        <row r="25">
          <cell r="A25" t="str">
            <v>Iran</v>
          </cell>
          <cell r="B25">
            <v>1</v>
          </cell>
          <cell r="C25">
            <v>0</v>
          </cell>
        </row>
        <row r="26">
          <cell r="A26" t="str">
            <v>Morocco</v>
          </cell>
          <cell r="B26">
            <v>1</v>
          </cell>
          <cell r="C26">
            <v>1</v>
          </cell>
        </row>
        <row r="27">
          <cell r="A27" t="str">
            <v>Egypt</v>
          </cell>
          <cell r="B27">
            <v>2</v>
          </cell>
          <cell r="C27">
            <v>2</v>
          </cell>
        </row>
        <row r="28">
          <cell r="A28" t="str">
            <v>Nigeria</v>
          </cell>
          <cell r="B28">
            <v>2</v>
          </cell>
          <cell r="C28">
            <v>2</v>
          </cell>
        </row>
        <row r="29">
          <cell r="A29" t="str">
            <v>Panama</v>
          </cell>
          <cell r="B29">
            <v>0</v>
          </cell>
          <cell r="C29">
            <v>0</v>
          </cell>
        </row>
        <row r="30">
          <cell r="A30" t="str">
            <v>South Korea</v>
          </cell>
          <cell r="B30">
            <v>2</v>
          </cell>
          <cell r="C30">
            <v>2</v>
          </cell>
        </row>
        <row r="31">
          <cell r="A31" t="str">
            <v>Japan</v>
          </cell>
          <cell r="B31">
            <v>1</v>
          </cell>
          <cell r="C31">
            <v>1</v>
          </cell>
        </row>
        <row r="32">
          <cell r="A32" t="str">
            <v>Saudi Arabia</v>
          </cell>
          <cell r="B32">
            <v>0</v>
          </cell>
          <cell r="C32">
            <v>0</v>
          </cell>
        </row>
        <row r="33">
          <cell r="A33" t="str">
            <v>Russia</v>
          </cell>
          <cell r="B33">
            <v>1</v>
          </cell>
          <cell r="C33">
            <v>1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 Rank</v>
          </cell>
        </row>
        <row r="2">
          <cell r="A2" t="str">
            <v>Germany</v>
          </cell>
          <cell r="B2">
            <v>2</v>
          </cell>
        </row>
        <row r="3">
          <cell r="A3" t="str">
            <v>Spain</v>
          </cell>
          <cell r="B3">
            <v>3</v>
          </cell>
        </row>
        <row r="4">
          <cell r="A4" t="str">
            <v>Belgium</v>
          </cell>
          <cell r="B4">
            <v>1</v>
          </cell>
        </row>
        <row r="5">
          <cell r="A5" t="str">
            <v>Brazil</v>
          </cell>
          <cell r="B5">
            <v>4</v>
          </cell>
        </row>
        <row r="6">
          <cell r="A6" t="str">
            <v>France</v>
          </cell>
          <cell r="B6">
            <v>5</v>
          </cell>
        </row>
        <row r="7">
          <cell r="A7" t="str">
            <v>Switzerland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England</v>
          </cell>
          <cell r="B10">
            <v>9</v>
          </cell>
        </row>
        <row r="11">
          <cell r="A11" t="str">
            <v>Uruguay</v>
          </cell>
          <cell r="B11">
            <v>10</v>
          </cell>
        </row>
        <row r="12">
          <cell r="A12" t="str">
            <v>Costa Rica</v>
          </cell>
          <cell r="B12">
            <v>11</v>
          </cell>
        </row>
        <row r="13">
          <cell r="A13" t="str">
            <v>Poland</v>
          </cell>
          <cell r="B13">
            <v>12</v>
          </cell>
        </row>
        <row r="14">
          <cell r="A14" t="str">
            <v>Croatia</v>
          </cell>
          <cell r="B14">
            <v>13</v>
          </cell>
        </row>
        <row r="15">
          <cell r="A15" t="str">
            <v>Mexico</v>
          </cell>
          <cell r="B15">
            <v>14</v>
          </cell>
        </row>
        <row r="16">
          <cell r="A16" t="str">
            <v>Sweden</v>
          </cell>
          <cell r="B16">
            <v>15</v>
          </cell>
        </row>
        <row r="17">
          <cell r="A17" t="str">
            <v>Colombia</v>
          </cell>
          <cell r="B17">
            <v>16</v>
          </cell>
        </row>
        <row r="18">
          <cell r="A18" t="str">
            <v>Senegal</v>
          </cell>
          <cell r="B18">
            <v>17</v>
          </cell>
        </row>
        <row r="19">
          <cell r="A19" t="str">
            <v>Denmark</v>
          </cell>
          <cell r="B19">
            <v>18</v>
          </cell>
        </row>
        <row r="20">
          <cell r="A20" t="str">
            <v>Russia</v>
          </cell>
          <cell r="B20">
            <v>19</v>
          </cell>
        </row>
        <row r="21">
          <cell r="A21" t="str">
            <v>Egypt</v>
          </cell>
          <cell r="B21">
            <v>20</v>
          </cell>
        </row>
        <row r="22">
          <cell r="A22" t="str">
            <v>Nigeria</v>
          </cell>
          <cell r="B22">
            <v>21</v>
          </cell>
        </row>
        <row r="23">
          <cell r="A23" t="str">
            <v>Morocco</v>
          </cell>
          <cell r="B23">
            <v>22</v>
          </cell>
        </row>
        <row r="24">
          <cell r="A24" t="str">
            <v>Peru</v>
          </cell>
          <cell r="B24">
            <v>23</v>
          </cell>
        </row>
        <row r="25">
          <cell r="A25" t="str">
            <v>Japan</v>
          </cell>
          <cell r="B25">
            <v>24</v>
          </cell>
        </row>
        <row r="26">
          <cell r="A26" t="str">
            <v>South Korea</v>
          </cell>
          <cell r="B26">
            <v>25</v>
          </cell>
        </row>
        <row r="27">
          <cell r="A27" t="str">
            <v>Iran</v>
          </cell>
          <cell r="B27">
            <v>26</v>
          </cell>
        </row>
        <row r="28">
          <cell r="A28" t="str">
            <v>Serbia</v>
          </cell>
          <cell r="B28">
            <v>27</v>
          </cell>
        </row>
        <row r="29">
          <cell r="A29" t="str">
            <v>Tunisia</v>
          </cell>
          <cell r="B29">
            <v>28</v>
          </cell>
        </row>
        <row r="30">
          <cell r="A30" t="str">
            <v>Australia</v>
          </cell>
          <cell r="B30">
            <v>29</v>
          </cell>
        </row>
        <row r="31">
          <cell r="A31" t="str">
            <v>Iceland</v>
          </cell>
          <cell r="B31">
            <v>30</v>
          </cell>
        </row>
        <row r="32">
          <cell r="A32" t="str">
            <v>Saudi Arabia</v>
          </cell>
          <cell r="B32">
            <v>31</v>
          </cell>
        </row>
        <row r="33">
          <cell r="A33" t="str">
            <v>Panama</v>
          </cell>
          <cell r="B33">
            <v>32</v>
          </cell>
        </row>
      </sheetData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Rank</v>
          </cell>
        </row>
        <row r="2">
          <cell r="A2" t="str">
            <v>Brazil</v>
          </cell>
          <cell r="B2">
            <v>1</v>
          </cell>
        </row>
        <row r="3">
          <cell r="A3" t="str">
            <v>Belgium</v>
          </cell>
          <cell r="B3">
            <v>2</v>
          </cell>
        </row>
        <row r="4">
          <cell r="A4" t="str">
            <v>Argentina</v>
          </cell>
          <cell r="B4">
            <v>3</v>
          </cell>
        </row>
        <row r="5">
          <cell r="A5" t="str">
            <v>France</v>
          </cell>
          <cell r="B5">
            <v>4</v>
          </cell>
        </row>
        <row r="6">
          <cell r="A6" t="str">
            <v>England</v>
          </cell>
          <cell r="B6">
            <v>5</v>
          </cell>
        </row>
        <row r="7">
          <cell r="A7" t="str">
            <v>Spain</v>
          </cell>
          <cell r="B7">
            <v>7</v>
          </cell>
        </row>
        <row r="8">
          <cell r="A8" t="str">
            <v>Netherlands</v>
          </cell>
          <cell r="B8">
            <v>8</v>
          </cell>
        </row>
        <row r="9">
          <cell r="A9" t="str">
            <v>Portugal</v>
          </cell>
          <cell r="B9">
            <v>9</v>
          </cell>
        </row>
        <row r="10">
          <cell r="A10" t="str">
            <v>Denmark</v>
          </cell>
          <cell r="B10">
            <v>10</v>
          </cell>
        </row>
        <row r="11">
          <cell r="A11" t="str">
            <v>Germany</v>
          </cell>
          <cell r="B11">
            <v>11</v>
          </cell>
        </row>
        <row r="12">
          <cell r="A12" t="str">
            <v>Croatia</v>
          </cell>
          <cell r="B12">
            <v>12</v>
          </cell>
        </row>
        <row r="13">
          <cell r="A13" t="str">
            <v>Mexico</v>
          </cell>
          <cell r="B13">
            <v>13</v>
          </cell>
        </row>
        <row r="14">
          <cell r="A14" t="str">
            <v>Uruguay</v>
          </cell>
          <cell r="B14">
            <v>14</v>
          </cell>
        </row>
        <row r="15">
          <cell r="A15" t="str">
            <v>Switzerland</v>
          </cell>
          <cell r="B15">
            <v>15</v>
          </cell>
        </row>
        <row r="16">
          <cell r="A16" t="str">
            <v>United States</v>
          </cell>
          <cell r="B16">
            <v>16</v>
          </cell>
        </row>
        <row r="17">
          <cell r="A17" t="str">
            <v>Senegal</v>
          </cell>
          <cell r="B17">
            <v>18</v>
          </cell>
        </row>
        <row r="18">
          <cell r="A18" t="str">
            <v>Wales</v>
          </cell>
          <cell r="B18">
            <v>19</v>
          </cell>
        </row>
        <row r="19">
          <cell r="A19" t="str">
            <v>Iran</v>
          </cell>
          <cell r="B19">
            <v>20</v>
          </cell>
        </row>
        <row r="20">
          <cell r="A20" t="str">
            <v>Serbia</v>
          </cell>
          <cell r="B20">
            <v>21</v>
          </cell>
        </row>
        <row r="21">
          <cell r="A21" t="str">
            <v>Morocco</v>
          </cell>
          <cell r="B21">
            <v>22</v>
          </cell>
        </row>
        <row r="22">
          <cell r="A22" t="str">
            <v>Japan</v>
          </cell>
          <cell r="B22">
            <v>24</v>
          </cell>
        </row>
        <row r="23">
          <cell r="A23" t="str">
            <v>Poland</v>
          </cell>
          <cell r="B23">
            <v>26</v>
          </cell>
        </row>
        <row r="24">
          <cell r="A24" t="str">
            <v>South Korea</v>
          </cell>
          <cell r="B24">
            <v>28</v>
          </cell>
        </row>
        <row r="25">
          <cell r="A25" t="str">
            <v>Tunisia</v>
          </cell>
          <cell r="B25">
            <v>30</v>
          </cell>
        </row>
        <row r="26">
          <cell r="A26" t="str">
            <v>Costa Rica</v>
          </cell>
          <cell r="B26">
            <v>31</v>
          </cell>
        </row>
        <row r="27">
          <cell r="A27" t="str">
            <v>Australia</v>
          </cell>
          <cell r="B27">
            <v>38</v>
          </cell>
        </row>
        <row r="28">
          <cell r="A28" t="str">
            <v>Canada</v>
          </cell>
          <cell r="B28">
            <v>41</v>
          </cell>
        </row>
        <row r="29">
          <cell r="A29" t="str">
            <v>Cameroon</v>
          </cell>
          <cell r="B29">
            <v>43</v>
          </cell>
        </row>
        <row r="30">
          <cell r="A30" t="str">
            <v>Ecuador</v>
          </cell>
          <cell r="B30">
            <v>44</v>
          </cell>
        </row>
        <row r="31">
          <cell r="A31" t="str">
            <v>Qatar</v>
          </cell>
          <cell r="B31">
            <v>50</v>
          </cell>
        </row>
        <row r="32">
          <cell r="A32" t="str">
            <v>Saudi Arabia</v>
          </cell>
          <cell r="B32">
            <v>51</v>
          </cell>
        </row>
        <row r="33">
          <cell r="A33" t="str">
            <v>Ghana</v>
          </cell>
          <cell r="B33">
            <v>61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 Players</v>
          </cell>
          <cell r="C1" t="str">
            <v>Top-100 Players</v>
          </cell>
        </row>
        <row r="2">
          <cell r="A2" t="str">
            <v>Brazil</v>
          </cell>
          <cell r="B2">
            <v>4</v>
          </cell>
          <cell r="C2">
            <v>9</v>
          </cell>
        </row>
        <row r="3">
          <cell r="A3" t="str">
            <v>Belgium</v>
          </cell>
          <cell r="B3">
            <v>3</v>
          </cell>
          <cell r="C3">
            <v>7</v>
          </cell>
        </row>
        <row r="4">
          <cell r="A4" t="str">
            <v>Argentina</v>
          </cell>
          <cell r="B4">
            <v>3</v>
          </cell>
          <cell r="C4">
            <v>6</v>
          </cell>
        </row>
        <row r="5">
          <cell r="A5" t="str">
            <v>France</v>
          </cell>
          <cell r="B5">
            <v>4</v>
          </cell>
          <cell r="C5">
            <v>8</v>
          </cell>
        </row>
        <row r="6">
          <cell r="A6" t="str">
            <v>England</v>
          </cell>
          <cell r="B6">
            <v>2</v>
          </cell>
          <cell r="C6">
            <v>6</v>
          </cell>
        </row>
        <row r="7">
          <cell r="A7" t="str">
            <v>Spain</v>
          </cell>
          <cell r="B7">
            <v>2</v>
          </cell>
          <cell r="C7">
            <v>6</v>
          </cell>
        </row>
        <row r="8">
          <cell r="A8" t="str">
            <v>Netherlands</v>
          </cell>
          <cell r="B8">
            <v>2</v>
          </cell>
          <cell r="C8">
            <v>5</v>
          </cell>
        </row>
        <row r="9">
          <cell r="A9" t="str">
            <v>Portugal</v>
          </cell>
          <cell r="B9">
            <v>3</v>
          </cell>
          <cell r="C9">
            <v>6</v>
          </cell>
        </row>
        <row r="10">
          <cell r="A10" t="str">
            <v>Denmark</v>
          </cell>
          <cell r="B10">
            <v>1</v>
          </cell>
          <cell r="C10">
            <v>4</v>
          </cell>
        </row>
        <row r="11">
          <cell r="A11" t="str">
            <v>Germany</v>
          </cell>
          <cell r="B11">
            <v>2</v>
          </cell>
          <cell r="C11">
            <v>6</v>
          </cell>
        </row>
        <row r="12">
          <cell r="A12" t="str">
            <v>Croatia</v>
          </cell>
          <cell r="B12">
            <v>2</v>
          </cell>
          <cell r="C12">
            <v>4</v>
          </cell>
        </row>
        <row r="13">
          <cell r="A13" t="str">
            <v>Mexico</v>
          </cell>
          <cell r="B13">
            <v>1</v>
          </cell>
          <cell r="C13">
            <v>3</v>
          </cell>
        </row>
        <row r="14">
          <cell r="A14" t="str">
            <v>Uruguay</v>
          </cell>
          <cell r="B14">
            <v>2</v>
          </cell>
          <cell r="C14">
            <v>4</v>
          </cell>
        </row>
        <row r="15">
          <cell r="A15" t="str">
            <v>Switzerland</v>
          </cell>
          <cell r="B15">
            <v>1</v>
          </cell>
          <cell r="C15">
            <v>3</v>
          </cell>
        </row>
        <row r="16">
          <cell r="A16" t="str">
            <v>United States</v>
          </cell>
          <cell r="B16">
            <v>1</v>
          </cell>
          <cell r="C16">
            <v>3</v>
          </cell>
        </row>
        <row r="17">
          <cell r="A17" t="str">
            <v>Senegal</v>
          </cell>
          <cell r="B17">
            <v>1</v>
          </cell>
          <cell r="C17">
            <v>3</v>
          </cell>
        </row>
        <row r="18">
          <cell r="A18" t="str">
            <v>Wales</v>
          </cell>
          <cell r="B18">
            <v>1</v>
          </cell>
          <cell r="C18">
            <v>2</v>
          </cell>
        </row>
        <row r="19">
          <cell r="A19" t="str">
            <v>Iran</v>
          </cell>
          <cell r="B19">
            <v>0</v>
          </cell>
          <cell r="C19">
            <v>1</v>
          </cell>
        </row>
        <row r="20">
          <cell r="A20" t="str">
            <v>Serbia</v>
          </cell>
          <cell r="B20">
            <v>1</v>
          </cell>
          <cell r="C20">
            <v>3</v>
          </cell>
        </row>
        <row r="21">
          <cell r="A21" t="str">
            <v>Morocco</v>
          </cell>
          <cell r="B21">
            <v>1</v>
          </cell>
          <cell r="C21">
            <v>3</v>
          </cell>
        </row>
        <row r="22">
          <cell r="A22" t="str">
            <v>Japan</v>
          </cell>
          <cell r="B22">
            <v>0</v>
          </cell>
          <cell r="C22">
            <v>2</v>
          </cell>
        </row>
        <row r="23">
          <cell r="A23" t="str">
            <v>Poland</v>
          </cell>
          <cell r="B23">
            <v>1</v>
          </cell>
          <cell r="C23">
            <v>2</v>
          </cell>
        </row>
        <row r="24">
          <cell r="A24" t="str">
            <v>South Korea</v>
          </cell>
          <cell r="B24">
            <v>1</v>
          </cell>
          <cell r="C24">
            <v>2</v>
          </cell>
        </row>
        <row r="25">
          <cell r="A25" t="str">
            <v>Tunisia</v>
          </cell>
          <cell r="B25">
            <v>0</v>
          </cell>
          <cell r="C25">
            <v>1</v>
          </cell>
        </row>
        <row r="26">
          <cell r="A26" t="str">
            <v>Costa Rica</v>
          </cell>
          <cell r="B26">
            <v>1</v>
          </cell>
          <cell r="C26">
            <v>2</v>
          </cell>
        </row>
        <row r="27">
          <cell r="A27" t="str">
            <v>Australia</v>
          </cell>
          <cell r="B27">
            <v>0</v>
          </cell>
          <cell r="C27">
            <v>1</v>
          </cell>
        </row>
        <row r="28">
          <cell r="A28" t="str">
            <v>Canada</v>
          </cell>
          <cell r="B28">
            <v>1</v>
          </cell>
          <cell r="C28">
            <v>2</v>
          </cell>
        </row>
        <row r="29">
          <cell r="A29" t="str">
            <v>Cameroon</v>
          </cell>
          <cell r="B29">
            <v>1</v>
          </cell>
          <cell r="C29">
            <v>2</v>
          </cell>
        </row>
        <row r="30">
          <cell r="A30" t="str">
            <v>Ecuador</v>
          </cell>
          <cell r="B30">
            <v>1</v>
          </cell>
          <cell r="C30">
            <v>2</v>
          </cell>
        </row>
        <row r="31">
          <cell r="A31" t="str">
            <v>Qatar</v>
          </cell>
          <cell r="B31">
            <v>0</v>
          </cell>
          <cell r="C31">
            <v>1</v>
          </cell>
        </row>
        <row r="32">
          <cell r="A32" t="str">
            <v>Saudi Arabia</v>
          </cell>
          <cell r="B32">
            <v>0</v>
          </cell>
          <cell r="C32">
            <v>1</v>
          </cell>
        </row>
        <row r="33">
          <cell r="A33" t="str">
            <v>Ghana</v>
          </cell>
          <cell r="B33">
            <v>1</v>
          </cell>
          <cell r="C33">
            <v>2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 Rank</v>
          </cell>
        </row>
        <row r="2">
          <cell r="A2" t="str">
            <v>Belgium</v>
          </cell>
          <cell r="B2">
            <v>1</v>
          </cell>
        </row>
        <row r="3">
          <cell r="A3" t="str">
            <v>Germany</v>
          </cell>
          <cell r="B3">
            <v>2</v>
          </cell>
        </row>
        <row r="4">
          <cell r="A4" t="str">
            <v>Brazil</v>
          </cell>
          <cell r="B4">
            <v>3</v>
          </cell>
        </row>
        <row r="5">
          <cell r="A5" t="str">
            <v>France</v>
          </cell>
          <cell r="B5">
            <v>4</v>
          </cell>
        </row>
        <row r="6">
          <cell r="A6" t="str">
            <v>Argentina</v>
          </cell>
          <cell r="B6">
            <v>5</v>
          </cell>
        </row>
        <row r="7">
          <cell r="A7" t="str">
            <v>Spain</v>
          </cell>
          <cell r="B7">
            <v>6</v>
          </cell>
        </row>
        <row r="8">
          <cell r="A8" t="str">
            <v>Portugal</v>
          </cell>
          <cell r="B8">
            <v>7</v>
          </cell>
        </row>
        <row r="9">
          <cell r="A9" t="str">
            <v>Netherlands</v>
          </cell>
          <cell r="B9">
            <v>8</v>
          </cell>
        </row>
        <row r="10">
          <cell r="A10" t="str">
            <v>England</v>
          </cell>
          <cell r="B10">
            <v>9</v>
          </cell>
        </row>
        <row r="11">
          <cell r="A11" t="str">
            <v>Croatia</v>
          </cell>
          <cell r="B11">
            <v>10</v>
          </cell>
        </row>
        <row r="12">
          <cell r="A12" t="str">
            <v>Uruguay</v>
          </cell>
          <cell r="B12">
            <v>11</v>
          </cell>
        </row>
        <row r="13">
          <cell r="A13" t="str">
            <v>Switzerland</v>
          </cell>
          <cell r="B13">
            <v>12</v>
          </cell>
        </row>
        <row r="14">
          <cell r="A14" t="str">
            <v>Poland</v>
          </cell>
          <cell r="B14">
            <v>13</v>
          </cell>
        </row>
        <row r="15">
          <cell r="A15" t="str">
            <v>Denmark</v>
          </cell>
          <cell r="B15">
            <v>14</v>
          </cell>
        </row>
        <row r="16">
          <cell r="A16" t="str">
            <v>Senegal</v>
          </cell>
          <cell r="B16">
            <v>15</v>
          </cell>
        </row>
        <row r="17">
          <cell r="A17" t="str">
            <v>Morocco</v>
          </cell>
          <cell r="B17">
            <v>16</v>
          </cell>
        </row>
        <row r="18">
          <cell r="A18" t="str">
            <v>United States</v>
          </cell>
          <cell r="B18">
            <v>17</v>
          </cell>
        </row>
        <row r="19">
          <cell r="A19" t="str">
            <v>Mexico</v>
          </cell>
          <cell r="B19">
            <v>18</v>
          </cell>
        </row>
        <row r="20">
          <cell r="A20" t="str">
            <v>Serbia</v>
          </cell>
          <cell r="B20">
            <v>19</v>
          </cell>
        </row>
        <row r="21">
          <cell r="A21" t="str">
            <v>Japan</v>
          </cell>
          <cell r="B21">
            <v>20</v>
          </cell>
        </row>
        <row r="22">
          <cell r="A22" t="str">
            <v>South Korea</v>
          </cell>
          <cell r="B22">
            <v>21</v>
          </cell>
        </row>
        <row r="23">
          <cell r="A23" t="str">
            <v>Wales</v>
          </cell>
          <cell r="B23">
            <v>22</v>
          </cell>
        </row>
        <row r="24">
          <cell r="A24" t="str">
            <v>Ecuador</v>
          </cell>
          <cell r="B24">
            <v>23</v>
          </cell>
        </row>
        <row r="25">
          <cell r="A25" t="str">
            <v>Costa Rica</v>
          </cell>
          <cell r="B25">
            <v>24</v>
          </cell>
        </row>
        <row r="26">
          <cell r="A26" t="str">
            <v>Tunisia</v>
          </cell>
          <cell r="B26">
            <v>25</v>
          </cell>
        </row>
        <row r="27">
          <cell r="A27" t="str">
            <v>Cameroon</v>
          </cell>
          <cell r="B27">
            <v>26</v>
          </cell>
        </row>
        <row r="28">
          <cell r="A28" t="str">
            <v>Ghana</v>
          </cell>
          <cell r="B28">
            <v>27</v>
          </cell>
        </row>
        <row r="29">
          <cell r="A29" t="str">
            <v>Canada</v>
          </cell>
          <cell r="B29">
            <v>28</v>
          </cell>
        </row>
        <row r="30">
          <cell r="A30" t="str">
            <v>Australia</v>
          </cell>
          <cell r="B30">
            <v>29</v>
          </cell>
        </row>
        <row r="31">
          <cell r="A31" t="str">
            <v>Iran</v>
          </cell>
          <cell r="B31">
            <v>30</v>
          </cell>
        </row>
        <row r="32">
          <cell r="A32" t="str">
            <v>Saudi Arabia</v>
          </cell>
          <cell r="B32">
            <v>31</v>
          </cell>
        </row>
        <row r="33">
          <cell r="A33" t="str">
            <v>Qatar</v>
          </cell>
          <cell r="B33">
            <v>32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7"/>
  <sheetViews>
    <sheetView tabSelected="1" zoomScale="85" zoomScaleNormal="85" workbookViewId="0">
      <selection activeCell="B379" sqref="B379"/>
    </sheetView>
  </sheetViews>
  <sheetFormatPr defaultRowHeight="14.4"/>
  <cols>
    <col min="1" max="1" width="22.44140625" customWidth="1"/>
    <col min="2" max="2" width="24.21875" customWidth="1"/>
    <col min="3" max="3" width="23.109375" customWidth="1"/>
    <col min="4" max="4" width="17.5546875" customWidth="1"/>
    <col min="5" max="5" width="18.5546875" customWidth="1"/>
    <col min="6" max="6" width="28" customWidth="1"/>
    <col min="7" max="7" width="22.88671875" customWidth="1"/>
    <col min="8" max="8" width="26" customWidth="1"/>
    <col min="9" max="9" width="24.109375" customWidth="1"/>
    <col min="10" max="10" width="19.88671875" customWidth="1"/>
    <col min="11" max="11" width="19.5546875" customWidth="1"/>
    <col min="12" max="12" width="36.109375" customWidth="1"/>
    <col min="13" max="13" width="19.6640625" customWidth="1"/>
    <col min="14" max="14" width="24.33203125" customWidth="1"/>
    <col min="15" max="27" width="24.109375" customWidth="1"/>
  </cols>
  <sheetData>
    <row r="1" spans="1:15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</v>
      </c>
      <c r="K1" s="1" t="s">
        <v>6</v>
      </c>
      <c r="L1" s="1" t="s">
        <v>321</v>
      </c>
      <c r="M1" s="1" t="s">
        <v>7</v>
      </c>
      <c r="N1" s="1" t="s">
        <v>182</v>
      </c>
      <c r="O1" s="1" t="s">
        <v>183</v>
      </c>
    </row>
    <row r="2" spans="1:15" ht="22.2" customHeight="1">
      <c r="A2" t="s">
        <v>8</v>
      </c>
      <c r="B2" t="s">
        <v>9</v>
      </c>
      <c r="C2" t="s">
        <v>10</v>
      </c>
      <c r="D2">
        <f>VLOOKUP(B2,[1]Sheet1!$A:$B,2,FALSE)</f>
        <v>1</v>
      </c>
      <c r="E2">
        <f>VLOOKUP(C2,[1]Sheet1!$A:$B,2,FALSE)</f>
        <v>42</v>
      </c>
      <c r="F2">
        <f>VLOOKUP(B2,[2]Sheet1!$A:$C,2,FALSE)</f>
        <v>1</v>
      </c>
      <c r="G2">
        <f>VLOOKUP(B2,[2]Sheet1!$A:$C,3,FALSE)</f>
        <v>6</v>
      </c>
      <c r="H2">
        <f>VLOOKUP(C2,[2]Sheet1!$A:$C,2,FALSE)</f>
        <v>0</v>
      </c>
      <c r="I2">
        <f>VLOOKUP(C2,[2]Sheet1!$A:$C,3,FALSE)</f>
        <v>2</v>
      </c>
      <c r="M2">
        <v>-1</v>
      </c>
      <c r="N2" s="2">
        <f>VLOOKUP(B2,[3]Sheet1!$A:$B,2,FALSE)</f>
        <v>3</v>
      </c>
      <c r="O2">
        <f>VLOOKUP(C2,[3]Sheet1!$A:$B,2,FALSE)</f>
        <v>19</v>
      </c>
    </row>
    <row r="3" spans="1:15" ht="22.2" customHeight="1">
      <c r="A3" t="s">
        <v>15</v>
      </c>
      <c r="B3" t="s">
        <v>11</v>
      </c>
      <c r="C3" t="s">
        <v>12</v>
      </c>
      <c r="D3">
        <f>VLOOKUP(B3,[1]Sheet1!$A:$B,2,FALSE)</f>
        <v>24</v>
      </c>
      <c r="E3">
        <f>VLOOKUP(C3,[1]Sheet1!$A:$B,2,FALSE)</f>
        <v>20</v>
      </c>
      <c r="F3">
        <f>VLOOKUP(B3,[2]Sheet1!$A:$C,2,FALSE)</f>
        <v>0</v>
      </c>
      <c r="G3">
        <f>VLOOKUP(B3,[2]Sheet1!$A:$C,3,FALSE)</f>
        <v>1</v>
      </c>
      <c r="H3">
        <f>VLOOKUP(C3,[2]Sheet1!$A:$C,2,FALSE)</f>
        <v>0</v>
      </c>
      <c r="I3">
        <f>VLOOKUP(C3,[2]Sheet1!$A:$C,3,FALSE)</f>
        <v>2</v>
      </c>
      <c r="M3">
        <v>-1</v>
      </c>
      <c r="N3" s="2">
        <f>VLOOKUP(B3,[3]Sheet1!$A:$B,2,FALSE)</f>
        <v>14</v>
      </c>
      <c r="O3">
        <f>VLOOKUP(C3,[3]Sheet1!$A:$B,2,FALSE)</f>
        <v>9</v>
      </c>
    </row>
    <row r="4" spans="1:15" ht="22.2" customHeight="1">
      <c r="A4" t="s">
        <v>14</v>
      </c>
      <c r="B4" t="s">
        <v>12</v>
      </c>
      <c r="C4" t="s">
        <v>10</v>
      </c>
      <c r="D4">
        <f>VLOOKUP(B4,[1]Sheet1!$A:$B,2,FALSE)</f>
        <v>20</v>
      </c>
      <c r="E4">
        <f>VLOOKUP(C4,[1]Sheet1!$A:$B,2,FALSE)</f>
        <v>42</v>
      </c>
      <c r="F4">
        <f>VLOOKUP(B4,[2]Sheet1!$A:$C,2,FALSE)</f>
        <v>0</v>
      </c>
      <c r="G4">
        <f>VLOOKUP(B4,[2]Sheet1!$A:$C,3,FALSE)</f>
        <v>2</v>
      </c>
      <c r="H4">
        <f>VLOOKUP(C4,[2]Sheet1!$A:$C,2,FALSE)</f>
        <v>0</v>
      </c>
      <c r="I4">
        <f>VLOOKUP(C4,[2]Sheet1!$A:$C,3,FALSE)</f>
        <v>2</v>
      </c>
      <c r="M4">
        <v>0</v>
      </c>
      <c r="N4" s="2">
        <f>VLOOKUP(B4,[3]Sheet1!$A:$B,2,FALSE)</f>
        <v>9</v>
      </c>
      <c r="O4">
        <f>VLOOKUP(C4,[3]Sheet1!$A:$B,2,FALSE)</f>
        <v>19</v>
      </c>
    </row>
    <row r="5" spans="1:15" ht="22.2" customHeight="1">
      <c r="A5" t="s">
        <v>13</v>
      </c>
      <c r="B5" t="s">
        <v>9</v>
      </c>
      <c r="C5" t="s">
        <v>11</v>
      </c>
      <c r="D5">
        <f>VLOOKUP(B5,[1]Sheet1!$A:$B,2,FALSE)</f>
        <v>1</v>
      </c>
      <c r="E5">
        <f>VLOOKUP(C5,[1]Sheet1!$A:$B,2,FALSE)</f>
        <v>24</v>
      </c>
      <c r="F5">
        <f>VLOOKUP(B5,[2]Sheet1!$A:$C,2,FALSE)</f>
        <v>1</v>
      </c>
      <c r="G5">
        <f>VLOOKUP(B5,[2]Sheet1!$A:$C,3,FALSE)</f>
        <v>6</v>
      </c>
      <c r="H5">
        <f>VLOOKUP(C5,[2]Sheet1!$A:$C,2,FALSE)</f>
        <v>0</v>
      </c>
      <c r="I5">
        <f>VLOOKUP(C5,[2]Sheet1!$A:$C,3,FALSE)</f>
        <v>1</v>
      </c>
      <c r="M5">
        <v>0</v>
      </c>
      <c r="N5" s="2">
        <f>VLOOKUP(B5,[3]Sheet1!$A:$B,2,FALSE)</f>
        <v>3</v>
      </c>
      <c r="O5">
        <f>VLOOKUP(C5,[3]Sheet1!$A:$B,2,FALSE)</f>
        <v>14</v>
      </c>
    </row>
    <row r="6" spans="1:15" ht="22.2" customHeight="1">
      <c r="A6" t="s">
        <v>16</v>
      </c>
      <c r="B6" t="s">
        <v>12</v>
      </c>
      <c r="C6" t="s">
        <v>9</v>
      </c>
      <c r="D6">
        <f>VLOOKUP(B6,[1]Sheet1!$A:$B,2,FALSE)</f>
        <v>20</v>
      </c>
      <c r="E6">
        <f>VLOOKUP(C6,[1]Sheet1!$A:$B,2,FALSE)</f>
        <v>1</v>
      </c>
      <c r="F6">
        <f>VLOOKUP(B6,[2]Sheet1!$A:$C,2,FALSE)</f>
        <v>0</v>
      </c>
      <c r="G6">
        <f>VLOOKUP(B6,[2]Sheet1!$A:$C,3,FALSE)</f>
        <v>2</v>
      </c>
      <c r="H6">
        <f>VLOOKUP(C6,[2]Sheet1!$A:$C,2,FALSE)</f>
        <v>1</v>
      </c>
      <c r="I6">
        <f>VLOOKUP(C6,[2]Sheet1!$A:$C,3,FALSE)</f>
        <v>6</v>
      </c>
      <c r="M6">
        <v>1</v>
      </c>
      <c r="N6" s="2">
        <f>VLOOKUP(B6,[3]Sheet1!$A:$B,2,FALSE)</f>
        <v>9</v>
      </c>
      <c r="O6">
        <f>VLOOKUP(C6,[3]Sheet1!$A:$B,2,FALSE)</f>
        <v>3</v>
      </c>
    </row>
    <row r="7" spans="1:15" ht="22.2" customHeight="1">
      <c r="A7" t="s">
        <v>17</v>
      </c>
      <c r="B7" t="s">
        <v>10</v>
      </c>
      <c r="C7" t="s">
        <v>11</v>
      </c>
      <c r="D7">
        <f>VLOOKUP(B7,[1]Sheet1!$A:$B,2,FALSE)</f>
        <v>42</v>
      </c>
      <c r="E7">
        <f>VLOOKUP(C7,[1]Sheet1!$A:$B,2,FALSE)</f>
        <v>24</v>
      </c>
      <c r="F7">
        <f>VLOOKUP(B7,[2]Sheet1!$A:$C,2,FALSE)</f>
        <v>0</v>
      </c>
      <c r="G7">
        <f>VLOOKUP(B7,[2]Sheet1!$A:$C,3,FALSE)</f>
        <v>2</v>
      </c>
      <c r="H7">
        <f>VLOOKUP(C7,[2]Sheet1!$A:$C,2,FALSE)</f>
        <v>0</v>
      </c>
      <c r="I7">
        <f>VLOOKUP(C7,[2]Sheet1!$A:$C,3,FALSE)</f>
        <v>1</v>
      </c>
      <c r="M7">
        <v>0</v>
      </c>
      <c r="N7" s="2">
        <f>VLOOKUP(B7,[3]Sheet1!$A:$B,2,FALSE)</f>
        <v>19</v>
      </c>
      <c r="O7">
        <f>VLOOKUP(C7,[3]Sheet1!$A:$B,2,FALSE)</f>
        <v>14</v>
      </c>
    </row>
    <row r="8" spans="1:15" ht="22.2" customHeight="1">
      <c r="A8" t="s">
        <v>18</v>
      </c>
      <c r="B8" t="s">
        <v>19</v>
      </c>
      <c r="C8" t="s">
        <v>20</v>
      </c>
      <c r="D8">
        <f>VLOOKUP(B8,[1]Sheet1!$A:$B,2,FALSE)</f>
        <v>18</v>
      </c>
      <c r="E8">
        <f>VLOOKUP(C8,[1]Sheet1!$A:$B,2,FALSE)</f>
        <v>37</v>
      </c>
      <c r="F8">
        <f>VLOOKUP(B8,[2]Sheet1!$A:$C,2,FALSE)</f>
        <v>0</v>
      </c>
      <c r="G8">
        <f>VLOOKUP(B8,[2]Sheet1!$A:$C,3,FALSE)</f>
        <v>0</v>
      </c>
      <c r="H8">
        <f>VLOOKUP(C8,[2]Sheet1!$A:$C,2,FALSE)</f>
        <v>0</v>
      </c>
      <c r="I8">
        <f>VLOOKUP(C8,[2]Sheet1!$A:$C,3,FALSE)</f>
        <v>0</v>
      </c>
      <c r="M8">
        <v>0</v>
      </c>
      <c r="N8" s="2">
        <f>VLOOKUP(B8,[3]Sheet1!$A:$B,2,FALSE)</f>
        <v>24</v>
      </c>
      <c r="O8">
        <f>VLOOKUP(C8,[3]Sheet1!$A:$B,2,FALSE)</f>
        <v>30</v>
      </c>
    </row>
    <row r="9" spans="1:15" ht="22.2" customHeight="1">
      <c r="A9" t="s">
        <v>21</v>
      </c>
      <c r="B9" t="s">
        <v>22</v>
      </c>
      <c r="C9" t="s">
        <v>23</v>
      </c>
      <c r="D9">
        <f>VLOOKUP(B9,[1]Sheet1!$A:$B,2,FALSE)</f>
        <v>8</v>
      </c>
      <c r="E9">
        <f>VLOOKUP(C9,[1]Sheet1!$A:$B,2,FALSE)</f>
        <v>25</v>
      </c>
      <c r="F9">
        <f>VLOOKUP(B9,[2]Sheet1!$A:$C,2,FALSE)</f>
        <v>1</v>
      </c>
      <c r="G9">
        <f>VLOOKUP(B9,[2]Sheet1!$A:$C,3,FALSE)</f>
        <v>4</v>
      </c>
      <c r="H9">
        <f>VLOOKUP(C9,[2]Sheet1!$A:$C,2,FALSE)</f>
        <v>0</v>
      </c>
      <c r="I9">
        <f>VLOOKUP(C9,[2]Sheet1!$A:$C,3,FALSE)</f>
        <v>0</v>
      </c>
      <c r="M9">
        <v>1</v>
      </c>
      <c r="N9" s="2">
        <f>VLOOKUP(B9,[3]Sheet1!$A:$B,2,FALSE)</f>
        <v>6</v>
      </c>
      <c r="O9">
        <f>VLOOKUP(C9,[3]Sheet1!$A:$B,2,FALSE)</f>
        <v>31</v>
      </c>
    </row>
    <row r="10" spans="1:15" ht="22.2" customHeight="1">
      <c r="A10" t="s">
        <v>24</v>
      </c>
      <c r="B10" t="s">
        <v>22</v>
      </c>
      <c r="C10" t="s">
        <v>19</v>
      </c>
      <c r="D10">
        <f>VLOOKUP(B10,[1]Sheet1!$A:$B,2,FALSE)</f>
        <v>8</v>
      </c>
      <c r="E10">
        <f>VLOOKUP(C10,[1]Sheet1!$A:$B,2,FALSE)</f>
        <v>18</v>
      </c>
      <c r="F10">
        <f>VLOOKUP(B10,[2]Sheet1!$A:$C,2,FALSE)</f>
        <v>1</v>
      </c>
      <c r="G10">
        <f>VLOOKUP(B10,[2]Sheet1!$A:$C,3,FALSE)</f>
        <v>4</v>
      </c>
      <c r="H10">
        <f>VLOOKUP(C10,[2]Sheet1!$A:$C,2,FALSE)</f>
        <v>0</v>
      </c>
      <c r="I10">
        <f>VLOOKUP(C10,[2]Sheet1!$A:$C,3,FALSE)</f>
        <v>0</v>
      </c>
      <c r="M10">
        <v>1</v>
      </c>
      <c r="N10" s="2">
        <f>VLOOKUP(B10,[3]Sheet1!$A:$B,2,FALSE)</f>
        <v>6</v>
      </c>
      <c r="O10">
        <f>VLOOKUP(C10,[3]Sheet1!$A:$B,2,FALSE)</f>
        <v>24</v>
      </c>
    </row>
    <row r="11" spans="1:15" ht="22.2" customHeight="1">
      <c r="A11" t="s">
        <v>25</v>
      </c>
      <c r="B11" t="s">
        <v>20</v>
      </c>
      <c r="C11" t="s">
        <v>23</v>
      </c>
      <c r="D11">
        <f>VLOOKUP(B11,[1]Sheet1!$A:$B,2,FALSE)</f>
        <v>37</v>
      </c>
      <c r="E11">
        <f>VLOOKUP(C11,[1]Sheet1!$A:$B,2,FALSE)</f>
        <v>25</v>
      </c>
      <c r="F11">
        <f>VLOOKUP(B11,[2]Sheet1!$A:$C,2,FALSE)</f>
        <v>0</v>
      </c>
      <c r="G11">
        <f>VLOOKUP(B11,[2]Sheet1!$A:$C,3,FALSE)</f>
        <v>0</v>
      </c>
      <c r="H11">
        <f>VLOOKUP(C11,[2]Sheet1!$A:$C,2,FALSE)</f>
        <v>0</v>
      </c>
      <c r="I11">
        <f>VLOOKUP(C11,[2]Sheet1!$A:$C,3,FALSE)</f>
        <v>0</v>
      </c>
      <c r="M11">
        <v>1</v>
      </c>
      <c r="N11" s="2">
        <f>VLOOKUP(B11,[3]Sheet1!$A:$B,2,FALSE)</f>
        <v>30</v>
      </c>
      <c r="O11">
        <f>VLOOKUP(C11,[3]Sheet1!$A:$B,2,FALSE)</f>
        <v>31</v>
      </c>
    </row>
    <row r="12" spans="1:15" ht="22.2" customHeight="1">
      <c r="A12" t="s">
        <v>26</v>
      </c>
      <c r="B12" t="s">
        <v>20</v>
      </c>
      <c r="C12" t="s">
        <v>22</v>
      </c>
      <c r="D12">
        <f>VLOOKUP(B12,[1]Sheet1!$A:$B,2,FALSE)</f>
        <v>37</v>
      </c>
      <c r="E12">
        <f>VLOOKUP(C12,[1]Sheet1!$A:$B,2,FALSE)</f>
        <v>8</v>
      </c>
      <c r="F12">
        <f>VLOOKUP(B12,[2]Sheet1!$A:$C,2,FALSE)</f>
        <v>0</v>
      </c>
      <c r="G12">
        <f>VLOOKUP(B12,[2]Sheet1!$A:$C,3,FALSE)</f>
        <v>0</v>
      </c>
      <c r="H12">
        <f>VLOOKUP(C12,[2]Sheet1!$A:$C,2,FALSE)</f>
        <v>1</v>
      </c>
      <c r="I12">
        <f>VLOOKUP(C12,[2]Sheet1!$A:$C,3,FALSE)</f>
        <v>4</v>
      </c>
      <c r="M12">
        <v>-1</v>
      </c>
      <c r="N12" s="2">
        <f>VLOOKUP(B12,[3]Sheet1!$A:$B,2,FALSE)</f>
        <v>30</v>
      </c>
      <c r="O12">
        <f>VLOOKUP(C12,[3]Sheet1!$A:$B,2,FALSE)</f>
        <v>6</v>
      </c>
    </row>
    <row r="13" spans="1:15" ht="22.2" customHeight="1">
      <c r="A13" t="s">
        <v>27</v>
      </c>
      <c r="B13" t="s">
        <v>23</v>
      </c>
      <c r="C13" t="s">
        <v>19</v>
      </c>
      <c r="D13">
        <f>VLOOKUP(B13,[1]Sheet1!$A:$B,2,FALSE)</f>
        <v>25</v>
      </c>
      <c r="E13">
        <f>VLOOKUP(C13,[1]Sheet1!$A:$B,2,FALSE)</f>
        <v>18</v>
      </c>
      <c r="F13">
        <f>VLOOKUP(B13,[2]Sheet1!$A:$C,2,FALSE)</f>
        <v>0</v>
      </c>
      <c r="G13">
        <f>VLOOKUP(B13,[2]Sheet1!$A:$C,3,FALSE)</f>
        <v>0</v>
      </c>
      <c r="H13">
        <f>VLOOKUP(C13,[2]Sheet1!$A:$C,2,FALSE)</f>
        <v>0</v>
      </c>
      <c r="I13">
        <f>VLOOKUP(C13,[2]Sheet1!$A:$C,3,FALSE)</f>
        <v>0</v>
      </c>
      <c r="M13">
        <v>1</v>
      </c>
      <c r="N13" s="2">
        <f>VLOOKUP(B13,[3]Sheet1!$A:$B,2,FALSE)</f>
        <v>31</v>
      </c>
      <c r="O13">
        <f>VLOOKUP(C13,[3]Sheet1!$A:$B,2,FALSE)</f>
        <v>24</v>
      </c>
    </row>
    <row r="14" spans="1:15" ht="22.2" customHeight="1">
      <c r="A14" t="s">
        <v>28</v>
      </c>
      <c r="B14" t="s">
        <v>29</v>
      </c>
      <c r="C14" t="s">
        <v>30</v>
      </c>
      <c r="D14">
        <f>VLOOKUP(B14,[1]Sheet1!$A:$B,2,FALSE)</f>
        <v>2</v>
      </c>
      <c r="E14">
        <f>VLOOKUP(C14,[1]Sheet1!$A:$B,2,FALSE)</f>
        <v>22</v>
      </c>
      <c r="F14">
        <f>VLOOKUP(B14,[2]Sheet1!$A:$C,2,FALSE)</f>
        <v>3</v>
      </c>
      <c r="G14">
        <f>VLOOKUP(B14,[2]Sheet1!$A:$C,3,FALSE)</f>
        <v>7</v>
      </c>
      <c r="H14">
        <f>VLOOKUP(C14,[2]Sheet1!$A:$C,2,FALSE)</f>
        <v>0</v>
      </c>
      <c r="I14">
        <f>VLOOKUP(C14,[2]Sheet1!$A:$C,3,FALSE)</f>
        <v>2</v>
      </c>
      <c r="M14">
        <v>1</v>
      </c>
      <c r="N14" s="2">
        <f>VLOOKUP(B14,[3]Sheet1!$A:$B,2,FALSE)</f>
        <v>5</v>
      </c>
      <c r="O14">
        <f>VLOOKUP(C14,[3]Sheet1!$A:$B,2,FALSE)</f>
        <v>10</v>
      </c>
    </row>
    <row r="15" spans="1:15" ht="22.2" customHeight="1">
      <c r="A15" t="s">
        <v>31</v>
      </c>
      <c r="B15" t="s">
        <v>32</v>
      </c>
      <c r="C15" t="s">
        <v>33</v>
      </c>
      <c r="D15">
        <f>VLOOKUP(B15,[1]Sheet1!$A:$B,2,FALSE)</f>
        <v>50</v>
      </c>
      <c r="E15">
        <f>VLOOKUP(C15,[1]Sheet1!$A:$B,2,FALSE)</f>
        <v>29</v>
      </c>
      <c r="F15">
        <f>VLOOKUP(B15,[2]Sheet1!$A:$C,2,FALSE)</f>
        <v>0</v>
      </c>
      <c r="G15">
        <f>VLOOKUP(B15,[2]Sheet1!$A:$C,3,FALSE)</f>
        <v>0</v>
      </c>
      <c r="H15">
        <f>VLOOKUP(C15,[2]Sheet1!$A:$C,2,FALSE)</f>
        <v>0</v>
      </c>
      <c r="I15">
        <f>VLOOKUP(C15,[2]Sheet1!$A:$C,3,FALSE)</f>
        <v>0</v>
      </c>
      <c r="M15">
        <v>-1</v>
      </c>
      <c r="N15" s="2">
        <f>VLOOKUP(B15,[3]Sheet1!$A:$B,2,FALSE)</f>
        <v>32</v>
      </c>
      <c r="O15">
        <f>VLOOKUP(C15,[3]Sheet1!$A:$B,2,FALSE)</f>
        <v>25</v>
      </c>
    </row>
    <row r="16" spans="1:15" ht="22.2" customHeight="1">
      <c r="A16" t="s">
        <v>34</v>
      </c>
      <c r="B16" t="s">
        <v>29</v>
      </c>
      <c r="C16" t="s">
        <v>32</v>
      </c>
      <c r="D16">
        <f>VLOOKUP(B16,[1]Sheet1!$A:$B,2,FALSE)</f>
        <v>2</v>
      </c>
      <c r="E16">
        <f>VLOOKUP(C16,[1]Sheet1!$A:$B,2,FALSE)</f>
        <v>50</v>
      </c>
      <c r="F16">
        <f>VLOOKUP(B16,[2]Sheet1!$A:$C,2,FALSE)</f>
        <v>3</v>
      </c>
      <c r="G16">
        <f>VLOOKUP(B16,[2]Sheet1!$A:$C,3,FALSE)</f>
        <v>7</v>
      </c>
      <c r="H16">
        <f>VLOOKUP(C16,[2]Sheet1!$A:$C,2,FALSE)</f>
        <v>0</v>
      </c>
      <c r="I16">
        <f>VLOOKUP(C16,[2]Sheet1!$A:$C,3,FALSE)</f>
        <v>0</v>
      </c>
      <c r="M16">
        <v>1</v>
      </c>
      <c r="N16" s="2">
        <f>VLOOKUP(B16,[3]Sheet1!$A:$B,2,FALSE)</f>
        <v>5</v>
      </c>
      <c r="O16">
        <f>VLOOKUP(C16,[3]Sheet1!$A:$B,2,FALSE)</f>
        <v>32</v>
      </c>
    </row>
    <row r="17" spans="1:15" ht="22.2" customHeight="1">
      <c r="A17" t="s">
        <v>35</v>
      </c>
      <c r="B17" t="s">
        <v>33</v>
      </c>
      <c r="C17" t="s">
        <v>30</v>
      </c>
      <c r="D17">
        <f>VLOOKUP(B17,[1]Sheet1!$A:$B,2,FALSE)</f>
        <v>29</v>
      </c>
      <c r="E17">
        <f>VLOOKUP(C17,[1]Sheet1!$A:$B,2,FALSE)</f>
        <v>22</v>
      </c>
      <c r="F17">
        <f>VLOOKUP(B17,[2]Sheet1!$A:$C,2,FALSE)</f>
        <v>0</v>
      </c>
      <c r="G17">
        <f>VLOOKUP(B17,[2]Sheet1!$A:$C,3,FALSE)</f>
        <v>0</v>
      </c>
      <c r="H17">
        <f>VLOOKUP(C17,[2]Sheet1!$A:$C,2,FALSE)</f>
        <v>0</v>
      </c>
      <c r="I17">
        <f>VLOOKUP(C17,[2]Sheet1!$A:$C,3,FALSE)</f>
        <v>2</v>
      </c>
      <c r="M17">
        <v>0</v>
      </c>
      <c r="N17" s="2">
        <f>VLOOKUP(B17,[3]Sheet1!$A:$B,2,FALSE)</f>
        <v>25</v>
      </c>
      <c r="O17">
        <f>VLOOKUP(C17,[3]Sheet1!$A:$B,2,FALSE)</f>
        <v>10</v>
      </c>
    </row>
    <row r="18" spans="1:15" ht="22.2" customHeight="1">
      <c r="A18" t="s">
        <v>36</v>
      </c>
      <c r="B18" t="s">
        <v>33</v>
      </c>
      <c r="C18" t="s">
        <v>29</v>
      </c>
      <c r="D18">
        <f>VLOOKUP(B18,[1]Sheet1!$A:$B,2,FALSE)</f>
        <v>29</v>
      </c>
      <c r="E18">
        <f>VLOOKUP(C18,[1]Sheet1!$A:$B,2,FALSE)</f>
        <v>2</v>
      </c>
      <c r="F18">
        <f>VLOOKUP(B18,[2]Sheet1!$A:$C,2,FALSE)</f>
        <v>0</v>
      </c>
      <c r="G18">
        <f>VLOOKUP(B18,[2]Sheet1!$A:$C,3,FALSE)</f>
        <v>0</v>
      </c>
      <c r="H18">
        <f>VLOOKUP(C18,[2]Sheet1!$A:$C,2,FALSE)</f>
        <v>3</v>
      </c>
      <c r="I18">
        <f>VLOOKUP(C18,[2]Sheet1!$A:$C,3,FALSE)</f>
        <v>7</v>
      </c>
      <c r="M18">
        <v>-1</v>
      </c>
      <c r="N18" s="2">
        <f>VLOOKUP(B18,[3]Sheet1!$A:$B,2,FALSE)</f>
        <v>25</v>
      </c>
      <c r="O18">
        <f>VLOOKUP(C18,[3]Sheet1!$A:$B,2,FALSE)</f>
        <v>5</v>
      </c>
    </row>
    <row r="19" spans="1:15" ht="22.2" customHeight="1">
      <c r="A19" t="s">
        <v>37</v>
      </c>
      <c r="B19" t="s">
        <v>30</v>
      </c>
      <c r="C19" t="s">
        <v>32</v>
      </c>
      <c r="D19">
        <f>VLOOKUP(B19,[1]Sheet1!$A:$B,2,FALSE)</f>
        <v>22</v>
      </c>
      <c r="E19">
        <f>VLOOKUP(C19,[1]Sheet1!$A:$B,2,FALSE)</f>
        <v>50</v>
      </c>
      <c r="F19">
        <f>VLOOKUP(B19,[2]Sheet1!$A:$C,2,FALSE)</f>
        <v>0</v>
      </c>
      <c r="G19">
        <f>VLOOKUP(B19,[2]Sheet1!$A:$C,3,FALSE)</f>
        <v>2</v>
      </c>
      <c r="H19">
        <f>VLOOKUP(C19,[2]Sheet1!$A:$C,2,FALSE)</f>
        <v>0</v>
      </c>
      <c r="I19">
        <f>VLOOKUP(C19,[2]Sheet1!$A:$C,3,FALSE)</f>
        <v>0</v>
      </c>
      <c r="M19">
        <v>1</v>
      </c>
      <c r="N19" s="2">
        <f>VLOOKUP(B19,[3]Sheet1!$A:$B,2,FALSE)</f>
        <v>10</v>
      </c>
      <c r="O19">
        <f>VLOOKUP(C19,[3]Sheet1!$A:$B,2,FALSE)</f>
        <v>32</v>
      </c>
    </row>
    <row r="20" spans="1:15" ht="22.2" customHeight="1">
      <c r="A20" t="s">
        <v>38</v>
      </c>
      <c r="B20" t="s">
        <v>39</v>
      </c>
      <c r="C20" t="s">
        <v>40</v>
      </c>
      <c r="D20">
        <f>VLOOKUP(B20,[1]Sheet1!$A:$B,2,FALSE)</f>
        <v>40</v>
      </c>
      <c r="E20">
        <f>VLOOKUP(C20,[1]Sheet1!$A:$B,2,FALSE)</f>
        <v>38</v>
      </c>
      <c r="F20">
        <f>VLOOKUP(B20,[2]Sheet1!$A:$C,2,FALSE)</f>
        <v>0</v>
      </c>
      <c r="G20">
        <f>VLOOKUP(B20,[2]Sheet1!$A:$C,3,FALSE)</f>
        <v>0</v>
      </c>
      <c r="H20">
        <f>VLOOKUP(C20,[2]Sheet1!$A:$C,2,FALSE)</f>
        <v>0</v>
      </c>
      <c r="I20">
        <f>VLOOKUP(C20,[2]Sheet1!$A:$C,3,FALSE)</f>
        <v>0</v>
      </c>
      <c r="M20">
        <v>1</v>
      </c>
      <c r="N20" s="2">
        <f>VLOOKUP(B20,[3]Sheet1!$A:$B,2,FALSE)</f>
        <v>20</v>
      </c>
      <c r="O20">
        <f>VLOOKUP(C20,[3]Sheet1!$A:$B,2,FALSE)</f>
        <v>26</v>
      </c>
    </row>
    <row r="21" spans="1:15" ht="22.2" customHeight="1">
      <c r="A21" t="s">
        <v>41</v>
      </c>
      <c r="B21" t="s">
        <v>42</v>
      </c>
      <c r="C21" t="s">
        <v>43</v>
      </c>
      <c r="D21">
        <f>VLOOKUP(B21,[1]Sheet1!$A:$B,2,FALSE)</f>
        <v>13</v>
      </c>
      <c r="E21">
        <f>VLOOKUP(C21,[1]Sheet1!$A:$B,2,FALSE)</f>
        <v>5</v>
      </c>
      <c r="F21">
        <v>0</v>
      </c>
      <c r="G21">
        <v>0</v>
      </c>
      <c r="H21">
        <f>VLOOKUP(C21,[2]Sheet1!$A:$C,2,FALSE)</f>
        <v>1</v>
      </c>
      <c r="I21">
        <f>VLOOKUP(C21,[2]Sheet1!$A:$C,3,FALSE)</f>
        <v>3</v>
      </c>
      <c r="M21">
        <v>1</v>
      </c>
      <c r="N21" s="2">
        <f>VLOOKUP(B21,[3]Sheet1!$A:$B,2,FALSE)</f>
        <v>15</v>
      </c>
      <c r="O21">
        <f>VLOOKUP(C21,[3]Sheet1!$A:$B,2,FALSE)</f>
        <v>8</v>
      </c>
    </row>
    <row r="22" spans="1:15" ht="22.2" customHeight="1">
      <c r="A22" t="s">
        <v>44</v>
      </c>
      <c r="B22" t="s">
        <v>39</v>
      </c>
      <c r="C22" t="s">
        <v>45</v>
      </c>
      <c r="D22">
        <f>VLOOKUP(B22,[1]Sheet1!$A:$B,2,FALSE)</f>
        <v>40</v>
      </c>
      <c r="E22">
        <f>VLOOKUP(C22,[1]Sheet1!$A:$B,2,FALSE)</f>
        <v>13</v>
      </c>
      <c r="F22">
        <f>VLOOKUP(B22,[2]Sheet1!$A:$C,2,FALSE)</f>
        <v>0</v>
      </c>
      <c r="G22">
        <f>VLOOKUP(B22,[2]Sheet1!$A:$C,3,FALSE)</f>
        <v>0</v>
      </c>
      <c r="H22">
        <f>VLOOKUP(C22,[2]Sheet1!$A:$C,2,FALSE)</f>
        <v>0</v>
      </c>
      <c r="I22">
        <f>VLOOKUP(C22,[2]Sheet1!$A:$C,3,FALSE)</f>
        <v>2</v>
      </c>
      <c r="M22">
        <v>0</v>
      </c>
      <c r="N22" s="2">
        <f>VLOOKUP(B22,[3]Sheet1!$A:$B,2,FALSE)</f>
        <v>20</v>
      </c>
      <c r="O22">
        <f>VLOOKUP(C22,[3]Sheet1!$A:$B,2,FALSE)</f>
        <v>15</v>
      </c>
    </row>
    <row r="23" spans="1:15" ht="22.2" customHeight="1">
      <c r="A23" t="s">
        <v>46</v>
      </c>
      <c r="B23" t="s">
        <v>43</v>
      </c>
      <c r="C23" t="s">
        <v>40</v>
      </c>
      <c r="D23">
        <f>VLOOKUP(B23,[1]Sheet1!$A:$B,2,FALSE)</f>
        <v>5</v>
      </c>
      <c r="E23">
        <f>VLOOKUP(C23,[1]Sheet1!$A:$B,2,FALSE)</f>
        <v>38</v>
      </c>
      <c r="F23">
        <f>VLOOKUP(B23,[2]Sheet1!$A:$C,2,FALSE)</f>
        <v>1</v>
      </c>
      <c r="G23">
        <f>VLOOKUP(B23,[2]Sheet1!$A:$C,3,FALSE)</f>
        <v>3</v>
      </c>
      <c r="H23">
        <f>VLOOKUP(C23,[2]Sheet1!$A:$C,2,FALSE)</f>
        <v>0</v>
      </c>
      <c r="I23">
        <f>VLOOKUP(C23,[2]Sheet1!$A:$C,3,FALSE)</f>
        <v>0</v>
      </c>
      <c r="M23">
        <v>1</v>
      </c>
      <c r="N23" s="2">
        <f>VLOOKUP(B23,[3]Sheet1!$A:$B,2,FALSE)</f>
        <v>8</v>
      </c>
      <c r="O23">
        <f>VLOOKUP(C23,[3]Sheet1!$A:$B,2,FALSE)</f>
        <v>26</v>
      </c>
    </row>
    <row r="24" spans="1:15" ht="22.2" customHeight="1">
      <c r="A24" t="s">
        <v>47</v>
      </c>
      <c r="B24" t="s">
        <v>40</v>
      </c>
      <c r="C24" t="s">
        <v>45</v>
      </c>
      <c r="D24">
        <f>VLOOKUP(B24,[1]Sheet1!$A:$B,2,FALSE)</f>
        <v>38</v>
      </c>
      <c r="E24">
        <f>VLOOKUP(C24,[1]Sheet1!$A:$B,2,FALSE)</f>
        <v>13</v>
      </c>
      <c r="F24">
        <f>VLOOKUP(B24,[2]Sheet1!$A:$C,2,FALSE)</f>
        <v>0</v>
      </c>
      <c r="G24">
        <f>VLOOKUP(B24,[2]Sheet1!$A:$C,3,FALSE)</f>
        <v>0</v>
      </c>
      <c r="H24">
        <f>VLOOKUP(C24,[2]Sheet1!$A:$C,2,FALSE)</f>
        <v>0</v>
      </c>
      <c r="I24">
        <f>VLOOKUP(C24,[2]Sheet1!$A:$C,3,FALSE)</f>
        <v>2</v>
      </c>
      <c r="M24">
        <v>1</v>
      </c>
      <c r="N24" s="2">
        <f>VLOOKUP(B24,[3]Sheet1!$A:$B,2,FALSE)</f>
        <v>26</v>
      </c>
      <c r="O24">
        <f>VLOOKUP(C24,[3]Sheet1!$A:$B,2,FALSE)</f>
        <v>15</v>
      </c>
    </row>
    <row r="25" spans="1:15" ht="22.2" customHeight="1">
      <c r="A25" t="s">
        <v>52</v>
      </c>
      <c r="B25" t="s">
        <v>53</v>
      </c>
      <c r="C25" t="s">
        <v>54</v>
      </c>
      <c r="D25">
        <f>VLOOKUP(B25,[1]Sheet1!$A:$B,2,FALSE)</f>
        <v>15</v>
      </c>
      <c r="E25">
        <f>VLOOKUP(C25,[1]Sheet1!$A:$B,2,FALSE)</f>
        <v>17</v>
      </c>
      <c r="F25">
        <f>VLOOKUP(B25,[2]Sheet1!$A:$C,2,FALSE)</f>
        <v>0</v>
      </c>
      <c r="G25">
        <f>VLOOKUP(B25,[2]Sheet1!$A:$C,3,FALSE)</f>
        <v>0</v>
      </c>
      <c r="H25">
        <f>VLOOKUP(C25,[2]Sheet1!$A:$C,2,FALSE)</f>
        <v>1</v>
      </c>
      <c r="I25">
        <f>VLOOKUP(C25,[2]Sheet1!$A:$C,3,FALSE)</f>
        <v>2</v>
      </c>
      <c r="M25">
        <v>0</v>
      </c>
      <c r="N25" s="2">
        <f>VLOOKUP(B25,[3]Sheet1!$A:$B,2,FALSE)</f>
        <v>22</v>
      </c>
      <c r="O25">
        <f>VLOOKUP(C25,[3]Sheet1!$A:$B,2,FALSE)</f>
        <v>17</v>
      </c>
    </row>
    <row r="26" spans="1:15" ht="22.2" customHeight="1">
      <c r="A26" t="s">
        <v>55</v>
      </c>
      <c r="B26" t="s">
        <v>56</v>
      </c>
      <c r="C26" t="s">
        <v>57</v>
      </c>
      <c r="D26">
        <f>VLOOKUP(B26,[1]Sheet1!$A:$B,2,FALSE)</f>
        <v>11</v>
      </c>
      <c r="E26">
        <f>VLOOKUP(C26,[1]Sheet1!$A:$B,2,FALSE)</f>
        <v>34</v>
      </c>
      <c r="F26">
        <f>VLOOKUP(B26,[2]Sheet1!$A:$C,2,FALSE)</f>
        <v>1</v>
      </c>
      <c r="G26">
        <f>VLOOKUP(B26,[2]Sheet1!$A:$C,3,FALSE)</f>
        <v>3</v>
      </c>
      <c r="H26">
        <f>VLOOKUP(C26,[2]Sheet1!$A:$C,2,FALSE)</f>
        <v>0</v>
      </c>
      <c r="I26">
        <f>VLOOKUP(C26,[2]Sheet1!$A:$C,3,FALSE)</f>
        <v>0</v>
      </c>
      <c r="M26">
        <v>1</v>
      </c>
      <c r="N26" s="2">
        <f>VLOOKUP(B26,[3]Sheet1!$A:$B,2,FALSE)</f>
        <v>1</v>
      </c>
      <c r="O26">
        <f>VLOOKUP(C26,[3]Sheet1!$A:$B,2,FALSE)</f>
        <v>28</v>
      </c>
    </row>
    <row r="27" spans="1:15" ht="22.2" customHeight="1">
      <c r="A27" t="s">
        <v>58</v>
      </c>
      <c r="B27" t="s">
        <v>56</v>
      </c>
      <c r="C27" t="s">
        <v>53</v>
      </c>
      <c r="D27">
        <f>VLOOKUP(B27,[1]Sheet1!$A:$B,2,FALSE)</f>
        <v>11</v>
      </c>
      <c r="E27">
        <f>VLOOKUP(C27,[1]Sheet1!$A:$B,2,FALSE)</f>
        <v>15</v>
      </c>
      <c r="F27">
        <f>VLOOKUP(B27,[2]Sheet1!$A:$C,2,FALSE)</f>
        <v>1</v>
      </c>
      <c r="G27">
        <f>VLOOKUP(B27,[2]Sheet1!$A:$C,3,FALSE)</f>
        <v>3</v>
      </c>
      <c r="H27">
        <f>VLOOKUP(C27,[2]Sheet1!$A:$C,2,FALSE)</f>
        <v>0</v>
      </c>
      <c r="I27">
        <f>VLOOKUP(C27,[2]Sheet1!$A:$C,3,FALSE)</f>
        <v>0</v>
      </c>
      <c r="M27">
        <v>0</v>
      </c>
      <c r="N27" s="2">
        <f>VLOOKUP(B27,[3]Sheet1!$A:$B,2,FALSE)</f>
        <v>1</v>
      </c>
      <c r="O27">
        <f>VLOOKUP(C27,[3]Sheet1!$A:$B,2,FALSE)</f>
        <v>22</v>
      </c>
    </row>
    <row r="28" spans="1:15" ht="22.2" customHeight="1">
      <c r="A28" t="s">
        <v>59</v>
      </c>
      <c r="B28" t="s">
        <v>54</v>
      </c>
      <c r="C28" t="s">
        <v>57</v>
      </c>
      <c r="D28">
        <f>VLOOKUP(B28,[1]Sheet1!$A:$B,2,FALSE)</f>
        <v>17</v>
      </c>
      <c r="E28">
        <f>VLOOKUP(C28,[1]Sheet1!$A:$B,2,FALSE)</f>
        <v>34</v>
      </c>
      <c r="F28">
        <f>VLOOKUP(B28,[2]Sheet1!$A:$C,2,FALSE)</f>
        <v>1</v>
      </c>
      <c r="G28">
        <f>VLOOKUP(B28,[2]Sheet1!$A:$C,3,FALSE)</f>
        <v>2</v>
      </c>
      <c r="H28">
        <f>VLOOKUP(C28,[2]Sheet1!$A:$C,2,FALSE)</f>
        <v>0</v>
      </c>
      <c r="I28">
        <f>VLOOKUP(C28,[2]Sheet1!$A:$C,3,FALSE)</f>
        <v>0</v>
      </c>
      <c r="M28">
        <v>1</v>
      </c>
      <c r="N28" s="2">
        <f>VLOOKUP(B28,[3]Sheet1!$A:$B,2,FALSE)</f>
        <v>17</v>
      </c>
      <c r="O28">
        <f>VLOOKUP(C28,[3]Sheet1!$A:$B,2,FALSE)</f>
        <v>28</v>
      </c>
    </row>
    <row r="29" spans="1:15" ht="22.2" customHeight="1">
      <c r="A29" t="s">
        <v>60</v>
      </c>
      <c r="B29" t="s">
        <v>54</v>
      </c>
      <c r="C29" t="s">
        <v>56</v>
      </c>
      <c r="D29">
        <f>VLOOKUP(B29,[1]Sheet1!$A:$B,2,FALSE)</f>
        <v>17</v>
      </c>
      <c r="E29">
        <f>VLOOKUP(C29,[1]Sheet1!$A:$B,2,FALSE)</f>
        <v>11</v>
      </c>
      <c r="F29">
        <f>VLOOKUP(B29,[2]Sheet1!$A:$C,2,FALSE)</f>
        <v>1</v>
      </c>
      <c r="G29">
        <f>VLOOKUP(B29,[2]Sheet1!$A:$C,3,FALSE)</f>
        <v>2</v>
      </c>
      <c r="H29">
        <f>VLOOKUP(C29,[2]Sheet1!$A:$C,2,FALSE)</f>
        <v>1</v>
      </c>
      <c r="I29">
        <f>VLOOKUP(C29,[2]Sheet1!$A:$C,3,FALSE)</f>
        <v>3</v>
      </c>
      <c r="M29">
        <v>-1</v>
      </c>
      <c r="N29" s="2">
        <f>VLOOKUP(B29,[3]Sheet1!$A:$B,2,FALSE)</f>
        <v>17</v>
      </c>
      <c r="O29">
        <f>VLOOKUP(C29,[3]Sheet1!$A:$B,2,FALSE)</f>
        <v>1</v>
      </c>
    </row>
    <row r="30" spans="1:15" ht="22.2" customHeight="1">
      <c r="A30" t="s">
        <v>61</v>
      </c>
      <c r="B30" t="s">
        <v>57</v>
      </c>
      <c r="C30" t="s">
        <v>53</v>
      </c>
      <c r="D30">
        <f>VLOOKUP(B30,[1]Sheet1!$A:$B,2,FALSE)</f>
        <v>34</v>
      </c>
      <c r="E30">
        <f>VLOOKUP(C30,[1]Sheet1!$A:$B,2,FALSE)</f>
        <v>15</v>
      </c>
      <c r="F30">
        <f>VLOOKUP(B30,[2]Sheet1!$A:$C,2,FALSE)</f>
        <v>0</v>
      </c>
      <c r="G30">
        <f>VLOOKUP(B30,[2]Sheet1!$A:$C,3,FALSE)</f>
        <v>0</v>
      </c>
      <c r="H30">
        <f>VLOOKUP(C30,[2]Sheet1!$A:$C,2,FALSE)</f>
        <v>0</v>
      </c>
      <c r="I30">
        <f>VLOOKUP(C30,[2]Sheet1!$A:$C,3,FALSE)</f>
        <v>0</v>
      </c>
      <c r="M30">
        <v>-1</v>
      </c>
      <c r="N30" s="2">
        <f>VLOOKUP(B30,[3]Sheet1!$A:$B,2,FALSE)</f>
        <v>28</v>
      </c>
      <c r="O30">
        <f>VLOOKUP(C30,[3]Sheet1!$A:$B,2,FALSE)</f>
        <v>22</v>
      </c>
    </row>
    <row r="31" spans="1:15" ht="22.2" customHeight="1">
      <c r="A31" t="s">
        <v>62</v>
      </c>
      <c r="B31" t="s">
        <v>63</v>
      </c>
      <c r="C31" t="s">
        <v>64</v>
      </c>
      <c r="D31">
        <f>VLOOKUP(B31,[1]Sheet1!$A:$B,2,FALSE)</f>
        <v>3</v>
      </c>
      <c r="E31">
        <f>VLOOKUP(C31,[1]Sheet1!$A:$B,2,FALSE)</f>
        <v>27</v>
      </c>
      <c r="F31">
        <f>VLOOKUP(B31,[2]Sheet1!$A:$C,2,FALSE)</f>
        <v>2</v>
      </c>
      <c r="G31">
        <f>VLOOKUP(B31,[2]Sheet1!$A:$C,3,FALSE)</f>
        <v>5</v>
      </c>
      <c r="H31">
        <f>VLOOKUP(C31,[2]Sheet1!$A:$C,2,FALSE)</f>
        <v>0</v>
      </c>
      <c r="I31">
        <f>VLOOKUP(C31,[2]Sheet1!$A:$C,3,FALSE)</f>
        <v>1</v>
      </c>
      <c r="M31">
        <v>1</v>
      </c>
      <c r="N31" s="2">
        <f>VLOOKUP(B31,[3]Sheet1!$A:$B,2,FALSE)</f>
        <v>7</v>
      </c>
      <c r="O31">
        <f>VLOOKUP(C31,[3]Sheet1!$A:$B,2,FALSE)</f>
        <v>16</v>
      </c>
    </row>
    <row r="32" spans="1:15" ht="22.2" customHeight="1">
      <c r="A32" t="s">
        <v>65</v>
      </c>
      <c r="B32" t="s">
        <v>66</v>
      </c>
      <c r="C32" t="s">
        <v>67</v>
      </c>
      <c r="D32">
        <f>VLOOKUP(B32,[1]Sheet1!$A:$B,2,FALSE)</f>
        <v>12</v>
      </c>
      <c r="E32">
        <f>VLOOKUP(C32,[1]Sheet1!$A:$B,2,FALSE)</f>
        <v>19</v>
      </c>
      <c r="F32">
        <f>VLOOKUP(B32,[2]Sheet1!$A:$C,2,FALSE)</f>
        <v>1</v>
      </c>
      <c r="G32">
        <f>VLOOKUP(B32,[2]Sheet1!$A:$C,3,FALSE)</f>
        <v>4</v>
      </c>
      <c r="H32">
        <f>VLOOKUP(C32,[2]Sheet1!$A:$C,2,FALSE)</f>
        <v>0</v>
      </c>
      <c r="I32">
        <f>VLOOKUP(C32,[2]Sheet1!$A:$C,3,FALSE)</f>
        <v>1</v>
      </c>
      <c r="M32">
        <v>0</v>
      </c>
      <c r="N32" s="2">
        <f>VLOOKUP(B32,[3]Sheet1!$A:$B,2,FALSE)</f>
        <v>4</v>
      </c>
      <c r="O32">
        <f>VLOOKUP(C32,[3]Sheet1!$A:$B,2,FALSE)</f>
        <v>11</v>
      </c>
    </row>
    <row r="33" spans="1:15" ht="22.2" customHeight="1">
      <c r="A33" t="s">
        <v>68</v>
      </c>
      <c r="B33" t="s">
        <v>67</v>
      </c>
      <c r="C33" t="s">
        <v>64</v>
      </c>
      <c r="D33">
        <f>VLOOKUP(B33,[1]Sheet1!$A:$B,2,FALSE)</f>
        <v>19</v>
      </c>
      <c r="E33">
        <f>VLOOKUP(C33,[1]Sheet1!$A:$B,2,FALSE)</f>
        <v>27</v>
      </c>
      <c r="F33">
        <f>VLOOKUP(B33,[2]Sheet1!$A:$C,2,FALSE)</f>
        <v>0</v>
      </c>
      <c r="G33">
        <f>VLOOKUP(B33,[2]Sheet1!$A:$C,3,FALSE)</f>
        <v>1</v>
      </c>
      <c r="H33">
        <f>VLOOKUP(C33,[2]Sheet1!$A:$C,2,FALSE)</f>
        <v>0</v>
      </c>
      <c r="I33">
        <f>VLOOKUP(C33,[2]Sheet1!$A:$C,3,FALSE)</f>
        <v>1</v>
      </c>
      <c r="M33">
        <v>1</v>
      </c>
      <c r="N33" s="2">
        <f>VLOOKUP(B33,[3]Sheet1!$A:$B,2,FALSE)</f>
        <v>11</v>
      </c>
      <c r="O33">
        <f>VLOOKUP(C33,[3]Sheet1!$A:$B,2,FALSE)</f>
        <v>16</v>
      </c>
    </row>
    <row r="34" spans="1:15" ht="22.2" customHeight="1">
      <c r="A34" t="s">
        <v>69</v>
      </c>
      <c r="B34" t="s">
        <v>63</v>
      </c>
      <c r="C34" t="s">
        <v>66</v>
      </c>
      <c r="D34">
        <f>VLOOKUP(B34,[1]Sheet1!$A:$B,2,FALSE)</f>
        <v>3</v>
      </c>
      <c r="E34">
        <f>VLOOKUP(C34,[1]Sheet1!$A:$B,2,FALSE)</f>
        <v>12</v>
      </c>
      <c r="F34">
        <f>VLOOKUP(B34,[2]Sheet1!$A:$C,2,FALSE)</f>
        <v>2</v>
      </c>
      <c r="G34">
        <f>VLOOKUP(B34,[2]Sheet1!$A:$C,3,FALSE)</f>
        <v>5</v>
      </c>
      <c r="H34">
        <f>VLOOKUP(C34,[2]Sheet1!$A:$C,2,FALSE)</f>
        <v>1</v>
      </c>
      <c r="I34">
        <f>VLOOKUP(C34,[2]Sheet1!$A:$C,3,FALSE)</f>
        <v>4</v>
      </c>
      <c r="M34">
        <v>-1</v>
      </c>
      <c r="N34" s="2">
        <f>VLOOKUP(B34,[3]Sheet1!$A:$B,2,FALSE)</f>
        <v>7</v>
      </c>
      <c r="O34">
        <f>VLOOKUP(C34,[3]Sheet1!$A:$B,2,FALSE)</f>
        <v>4</v>
      </c>
    </row>
    <row r="35" spans="1:15" ht="22.2" customHeight="1">
      <c r="A35" t="s">
        <v>70</v>
      </c>
      <c r="B35" t="s">
        <v>67</v>
      </c>
      <c r="C35" t="s">
        <v>63</v>
      </c>
      <c r="D35">
        <f>VLOOKUP(B35,[1]Sheet1!$A:$B,2,FALSE)</f>
        <v>19</v>
      </c>
      <c r="E35">
        <f>VLOOKUP(C35,[1]Sheet1!$A:$B,2,FALSE)</f>
        <v>3</v>
      </c>
      <c r="F35">
        <f>VLOOKUP(B35,[2]Sheet1!$A:$C,2,FALSE)</f>
        <v>0</v>
      </c>
      <c r="G35">
        <f>VLOOKUP(B35,[2]Sheet1!$A:$C,3,FALSE)</f>
        <v>1</v>
      </c>
      <c r="H35">
        <f>VLOOKUP(C35,[2]Sheet1!$A:$C,2,FALSE)</f>
        <v>2</v>
      </c>
      <c r="I35">
        <f>VLOOKUP(C35,[2]Sheet1!$A:$C,3,FALSE)</f>
        <v>5</v>
      </c>
      <c r="M35">
        <v>0</v>
      </c>
      <c r="N35" s="2">
        <f>VLOOKUP(B35,[3]Sheet1!$A:$B,2,FALSE)</f>
        <v>11</v>
      </c>
      <c r="O35">
        <f>VLOOKUP(C35,[3]Sheet1!$A:$B,2,FALSE)</f>
        <v>7</v>
      </c>
    </row>
    <row r="36" spans="1:15" ht="22.2" customHeight="1">
      <c r="A36" t="s">
        <v>71</v>
      </c>
      <c r="B36" t="s">
        <v>64</v>
      </c>
      <c r="C36" t="s">
        <v>66</v>
      </c>
      <c r="D36">
        <f>VLOOKUP(B36,[1]Sheet1!$A:$B,2,FALSE)</f>
        <v>27</v>
      </c>
      <c r="E36">
        <f>VLOOKUP(C36,[1]Sheet1!$A:$B,2,FALSE)</f>
        <v>12</v>
      </c>
      <c r="F36">
        <f>VLOOKUP(B36,[2]Sheet1!$A:$C,2,FALSE)</f>
        <v>0</v>
      </c>
      <c r="G36">
        <f>VLOOKUP(B36,[2]Sheet1!$A:$C,3,FALSE)</f>
        <v>1</v>
      </c>
      <c r="H36">
        <f>VLOOKUP(C36,[2]Sheet1!$A:$C,2,FALSE)</f>
        <v>1</v>
      </c>
      <c r="I36">
        <f>VLOOKUP(C36,[2]Sheet1!$A:$C,3,FALSE)</f>
        <v>4</v>
      </c>
      <c r="M36">
        <v>0</v>
      </c>
      <c r="N36" s="2">
        <f>VLOOKUP(B36,[3]Sheet1!$A:$B,2,FALSE)</f>
        <v>16</v>
      </c>
      <c r="O36">
        <f>VLOOKUP(C36,[3]Sheet1!$A:$B,2,FALSE)</f>
        <v>4</v>
      </c>
    </row>
    <row r="37" spans="1:15" ht="22.2" customHeight="1">
      <c r="A37" t="s">
        <v>72</v>
      </c>
      <c r="B37" t="s">
        <v>73</v>
      </c>
      <c r="C37" t="s">
        <v>74</v>
      </c>
      <c r="D37">
        <f>VLOOKUP(B37,[1]Sheet1!$A:$B,2,FALSE)</f>
        <v>21</v>
      </c>
      <c r="E37">
        <f>VLOOKUP(C37,[1]Sheet1!$A:$B,2,FALSE)</f>
        <v>7</v>
      </c>
      <c r="F37">
        <f>VLOOKUP(B37,[2]Sheet1!$A:$C,2,FALSE)</f>
        <v>0</v>
      </c>
      <c r="G37">
        <f>VLOOKUP(B37,[2]Sheet1!$A:$C,3,FALSE)</f>
        <v>1</v>
      </c>
      <c r="H37">
        <f>VLOOKUP(C37,[2]Sheet1!$A:$C,2,FALSE)</f>
        <v>0</v>
      </c>
      <c r="I37">
        <f>VLOOKUP(C37,[2]Sheet1!$A:$C,3,FALSE)</f>
        <v>2</v>
      </c>
      <c r="M37">
        <v>-1</v>
      </c>
      <c r="N37" s="2">
        <f>VLOOKUP(B37,[3]Sheet1!$A:$B,2,FALSE)</f>
        <v>12</v>
      </c>
      <c r="O37">
        <f>VLOOKUP(C37,[3]Sheet1!$A:$B,2,FALSE)</f>
        <v>18</v>
      </c>
    </row>
    <row r="38" spans="1:15" ht="22.2" customHeight="1">
      <c r="A38" t="s">
        <v>75</v>
      </c>
      <c r="B38" t="s">
        <v>76</v>
      </c>
      <c r="C38" t="s">
        <v>77</v>
      </c>
      <c r="D38">
        <f>VLOOKUP(B38,[1]Sheet1!$A:$B,2,FALSE)</f>
        <v>6</v>
      </c>
      <c r="E38">
        <f>VLOOKUP(C38,[1]Sheet1!$A:$B,2,FALSE)</f>
        <v>36</v>
      </c>
      <c r="F38">
        <f>VLOOKUP(B38,[2]Sheet1!$A:$C,2,FALSE)</f>
        <v>2</v>
      </c>
      <c r="G38">
        <f>VLOOKUP(B38,[2]Sheet1!$A:$C,3,FALSE)</f>
        <v>5</v>
      </c>
      <c r="H38">
        <f>VLOOKUP(C38,[2]Sheet1!$A:$C,2,FALSE)</f>
        <v>0</v>
      </c>
      <c r="I38">
        <f>VLOOKUP(C38,[2]Sheet1!$A:$C,3,FALSE)</f>
        <v>0</v>
      </c>
      <c r="M38">
        <v>1</v>
      </c>
      <c r="N38" s="2">
        <f>VLOOKUP(B38,[3]Sheet1!$A:$B,2,FALSE)</f>
        <v>2</v>
      </c>
      <c r="O38">
        <f>VLOOKUP(C38,[3]Sheet1!$A:$B,2,FALSE)</f>
        <v>29</v>
      </c>
    </row>
    <row r="39" spans="1:15" ht="22.2" customHeight="1">
      <c r="A39" t="s">
        <v>78</v>
      </c>
      <c r="B39" t="s">
        <v>76</v>
      </c>
      <c r="C39" t="s">
        <v>73</v>
      </c>
      <c r="D39">
        <f>VLOOKUP(B39,[1]Sheet1!$A:$B,2,FALSE)</f>
        <v>6</v>
      </c>
      <c r="E39">
        <f>VLOOKUP(C39,[1]Sheet1!$A:$B,2,FALSE)</f>
        <v>21</v>
      </c>
      <c r="F39">
        <f>VLOOKUP(B39,[2]Sheet1!$A:$C,2,FALSE)</f>
        <v>2</v>
      </c>
      <c r="G39">
        <f>VLOOKUP(B39,[2]Sheet1!$A:$C,3,FALSE)</f>
        <v>5</v>
      </c>
      <c r="H39">
        <f>VLOOKUP(C39,[2]Sheet1!$A:$C,2,FALSE)</f>
        <v>0</v>
      </c>
      <c r="I39">
        <f>VLOOKUP(C39,[2]Sheet1!$A:$C,3,FALSE)</f>
        <v>1</v>
      </c>
      <c r="M39">
        <v>-1</v>
      </c>
      <c r="N39" s="2">
        <f>VLOOKUP(B39,[3]Sheet1!$A:$B,2,FALSE)</f>
        <v>2</v>
      </c>
      <c r="O39">
        <f>VLOOKUP(C39,[3]Sheet1!$A:$B,2,FALSE)</f>
        <v>12</v>
      </c>
    </row>
    <row r="40" spans="1:15" ht="22.2" customHeight="1">
      <c r="A40" t="s">
        <v>79</v>
      </c>
      <c r="B40" t="s">
        <v>74</v>
      </c>
      <c r="C40" t="s">
        <v>77</v>
      </c>
      <c r="D40">
        <f>VLOOKUP(B40,[1]Sheet1!$A:$B,2,FALSE)</f>
        <v>7</v>
      </c>
      <c r="E40">
        <f>VLOOKUP(C40,[1]Sheet1!$A:$B,2,FALSE)</f>
        <v>36</v>
      </c>
      <c r="F40">
        <f>VLOOKUP(B40,[2]Sheet1!$A:$C,2,FALSE)</f>
        <v>0</v>
      </c>
      <c r="G40">
        <f>VLOOKUP(B40,[2]Sheet1!$A:$C,3,FALSE)</f>
        <v>2</v>
      </c>
      <c r="H40">
        <f>VLOOKUP(C40,[2]Sheet1!$A:$C,2,FALSE)</f>
        <v>0</v>
      </c>
      <c r="I40">
        <f>VLOOKUP(C40,[2]Sheet1!$A:$C,3,FALSE)</f>
        <v>0</v>
      </c>
      <c r="M40">
        <v>1</v>
      </c>
      <c r="N40" s="2">
        <f>VLOOKUP(B40,[3]Sheet1!$A:$B,2,FALSE)</f>
        <v>18</v>
      </c>
      <c r="O40">
        <f>VLOOKUP(C40,[3]Sheet1!$A:$B,2,FALSE)</f>
        <v>29</v>
      </c>
    </row>
    <row r="41" spans="1:15" ht="22.2" customHeight="1">
      <c r="A41" t="s">
        <v>80</v>
      </c>
      <c r="B41" t="s">
        <v>74</v>
      </c>
      <c r="C41" t="s">
        <v>76</v>
      </c>
      <c r="D41">
        <f>VLOOKUP(B41,[1]Sheet1!$A:$B,2,FALSE)</f>
        <v>7</v>
      </c>
      <c r="E41">
        <f>VLOOKUP(C41,[1]Sheet1!$A:$B,2,FALSE)</f>
        <v>6</v>
      </c>
      <c r="F41">
        <f>VLOOKUP(B41,[2]Sheet1!$A:$C,2,FALSE)</f>
        <v>0</v>
      </c>
      <c r="G41">
        <f>VLOOKUP(B41,[2]Sheet1!$A:$C,3,FALSE)</f>
        <v>2</v>
      </c>
      <c r="H41">
        <f>VLOOKUP(C41,[2]Sheet1!$A:$C,2,FALSE)</f>
        <v>2</v>
      </c>
      <c r="I41">
        <f>VLOOKUP(C41,[2]Sheet1!$A:$C,3,FALSE)</f>
        <v>5</v>
      </c>
      <c r="M41">
        <v>0</v>
      </c>
      <c r="N41" s="2">
        <f>VLOOKUP(B41,[3]Sheet1!$A:$B,2,FALSE)</f>
        <v>18</v>
      </c>
      <c r="O41">
        <f>VLOOKUP(C41,[3]Sheet1!$A:$B,2,FALSE)</f>
        <v>2</v>
      </c>
    </row>
    <row r="42" spans="1:15" ht="22.2" customHeight="1">
      <c r="A42" t="s">
        <v>81</v>
      </c>
      <c r="B42" t="s">
        <v>77</v>
      </c>
      <c r="C42" t="s">
        <v>73</v>
      </c>
      <c r="D42">
        <f>VLOOKUP(B42,[1]Sheet1!$A:$B,2,FALSE)</f>
        <v>36</v>
      </c>
      <c r="E42">
        <f>VLOOKUP(C42,[1]Sheet1!$A:$B,2,FALSE)</f>
        <v>21</v>
      </c>
      <c r="F42">
        <f>VLOOKUP(B42,[2]Sheet1!$A:$C,2,FALSE)</f>
        <v>0</v>
      </c>
      <c r="G42">
        <f>VLOOKUP(B42,[2]Sheet1!$A:$C,3,FALSE)</f>
        <v>0</v>
      </c>
      <c r="H42">
        <f>VLOOKUP(C42,[2]Sheet1!$A:$C,2,FALSE)</f>
        <v>0</v>
      </c>
      <c r="I42">
        <f>VLOOKUP(C42,[2]Sheet1!$A:$C,3,FALSE)</f>
        <v>1</v>
      </c>
      <c r="M42">
        <v>1</v>
      </c>
      <c r="N42" s="2">
        <f>VLOOKUP(B42,[3]Sheet1!$A:$B,2,FALSE)</f>
        <v>29</v>
      </c>
      <c r="O42">
        <f>VLOOKUP(C42,[3]Sheet1!$A:$B,2,FALSE)</f>
        <v>12</v>
      </c>
    </row>
    <row r="43" spans="1:15" ht="22.2" customHeight="1">
      <c r="A43" t="s">
        <v>82</v>
      </c>
      <c r="B43" t="s">
        <v>83</v>
      </c>
      <c r="C43" t="s">
        <v>84</v>
      </c>
      <c r="D43">
        <f>VLOOKUP(B43,[1]Sheet1!$A:$B,2,FALSE)</f>
        <v>32</v>
      </c>
      <c r="E43">
        <f>VLOOKUP(C43,[1]Sheet1!$A:$B,2,FALSE)</f>
        <v>23</v>
      </c>
      <c r="F43">
        <f>VLOOKUP(B43,[2]Sheet1!$A:$C,2,FALSE)</f>
        <v>0</v>
      </c>
      <c r="G43">
        <f>VLOOKUP(B43,[2]Sheet1!$A:$C,3,FALSE)</f>
        <v>0</v>
      </c>
      <c r="H43">
        <f>VLOOKUP(C43,[2]Sheet1!$A:$C,2,FALSE)</f>
        <v>0</v>
      </c>
      <c r="I43">
        <f>VLOOKUP(C43,[2]Sheet1!$A:$C,3,FALSE)</f>
        <v>1</v>
      </c>
      <c r="M43">
        <v>0</v>
      </c>
      <c r="N43" s="2">
        <f>VLOOKUP(B43,[3]Sheet1!$A:$B,2,FALSE)</f>
        <v>21</v>
      </c>
      <c r="O43">
        <f>VLOOKUP(C43,[3]Sheet1!$A:$B,2,FALSE)</f>
        <v>13</v>
      </c>
    </row>
    <row r="44" spans="1:15" ht="22.2" customHeight="1">
      <c r="A44" t="s">
        <v>85</v>
      </c>
      <c r="B44" t="s">
        <v>86</v>
      </c>
      <c r="C44" t="s">
        <v>87</v>
      </c>
      <c r="D44">
        <f>VLOOKUP(B44,[1]Sheet1!$A:$B,2,FALSE)</f>
        <v>28</v>
      </c>
      <c r="E44">
        <f>VLOOKUP(C44,[1]Sheet1!$A:$B,2,FALSE)</f>
        <v>31</v>
      </c>
      <c r="F44">
        <f>VLOOKUP(B44,[2]Sheet1!$A:$C,2,FALSE)</f>
        <v>0</v>
      </c>
      <c r="G44">
        <f>VLOOKUP(B44,[2]Sheet1!$A:$C,3,FALSE)</f>
        <v>0</v>
      </c>
      <c r="H44">
        <f>VLOOKUP(C44,[2]Sheet1!$A:$C,2,FALSE)</f>
        <v>0</v>
      </c>
      <c r="I44">
        <f>VLOOKUP(C44,[2]Sheet1!$A:$C,3,FALSE)</f>
        <v>0</v>
      </c>
      <c r="M44">
        <v>1</v>
      </c>
      <c r="N44" s="2">
        <f>VLOOKUP(B44,[3]Sheet1!$A:$B,2,FALSE)</f>
        <v>23</v>
      </c>
      <c r="O44">
        <f>VLOOKUP(C44,[3]Sheet1!$A:$B,2,FALSE)</f>
        <v>27</v>
      </c>
    </row>
    <row r="45" spans="1:15" ht="22.2" customHeight="1">
      <c r="A45" t="s">
        <v>88</v>
      </c>
      <c r="B45" t="s">
        <v>83</v>
      </c>
      <c r="C45" t="s">
        <v>86</v>
      </c>
      <c r="D45">
        <f>VLOOKUP(B45,[1]Sheet1!$A:$B,2,FALSE)</f>
        <v>32</v>
      </c>
      <c r="E45">
        <f>VLOOKUP(C45,[1]Sheet1!$A:$B,2,FALSE)</f>
        <v>28</v>
      </c>
      <c r="F45">
        <f>VLOOKUP(B45,[2]Sheet1!$A:$C,2,FALSE)</f>
        <v>0</v>
      </c>
      <c r="G45">
        <f>VLOOKUP(B45,[2]Sheet1!$A:$C,3,FALSE)</f>
        <v>0</v>
      </c>
      <c r="H45">
        <f>VLOOKUP(C45,[2]Sheet1!$A:$C,2,FALSE)</f>
        <v>0</v>
      </c>
      <c r="I45">
        <f>VLOOKUP(C45,[2]Sheet1!$A:$C,3,FALSE)</f>
        <v>0</v>
      </c>
      <c r="M45">
        <v>1</v>
      </c>
      <c r="N45" s="2">
        <f>VLOOKUP(B45,[3]Sheet1!$A:$B,2,FALSE)</f>
        <v>21</v>
      </c>
      <c r="O45">
        <f>VLOOKUP(C45,[3]Sheet1!$A:$B,2,FALSE)</f>
        <v>23</v>
      </c>
    </row>
    <row r="46" spans="1:15" ht="22.2" customHeight="1">
      <c r="A46" t="s">
        <v>89</v>
      </c>
      <c r="B46" t="s">
        <v>87</v>
      </c>
      <c r="C46" t="s">
        <v>84</v>
      </c>
      <c r="D46">
        <f>VLOOKUP(B46,[1]Sheet1!$A:$B,2,FALSE)</f>
        <v>31</v>
      </c>
      <c r="E46">
        <f>VLOOKUP(C46,[1]Sheet1!$A:$B,2,FALSE)</f>
        <v>23</v>
      </c>
      <c r="F46">
        <f>VLOOKUP(B46,[2]Sheet1!$A:$C,2,FALSE)</f>
        <v>0</v>
      </c>
      <c r="G46">
        <f>VLOOKUP(B46,[2]Sheet1!$A:$C,3,FALSE)</f>
        <v>0</v>
      </c>
      <c r="H46">
        <f>VLOOKUP(C46,[2]Sheet1!$A:$C,2,FALSE)</f>
        <v>0</v>
      </c>
      <c r="I46">
        <f>VLOOKUP(C46,[2]Sheet1!$A:$C,3,FALSE)</f>
        <v>1</v>
      </c>
      <c r="M46">
        <v>0</v>
      </c>
      <c r="N46" s="2">
        <f>VLOOKUP(B46,[3]Sheet1!$A:$B,2,FALSE)</f>
        <v>27</v>
      </c>
      <c r="O46">
        <f>VLOOKUP(C46,[3]Sheet1!$A:$B,2,FALSE)</f>
        <v>13</v>
      </c>
    </row>
    <row r="47" spans="1:15" ht="22.2" customHeight="1">
      <c r="A47" t="s">
        <v>90</v>
      </c>
      <c r="B47" t="s">
        <v>87</v>
      </c>
      <c r="C47" t="s">
        <v>83</v>
      </c>
      <c r="D47">
        <f>VLOOKUP(B47,[1]Sheet1!$A:$B,2,FALSE)</f>
        <v>31</v>
      </c>
      <c r="E47">
        <f>VLOOKUP(C47,[1]Sheet1!$A:$B,2,FALSE)</f>
        <v>32</v>
      </c>
      <c r="F47">
        <f>VLOOKUP(B47,[2]Sheet1!$A:$C,2,FALSE)</f>
        <v>0</v>
      </c>
      <c r="G47">
        <f>VLOOKUP(B47,[2]Sheet1!$A:$C,3,FALSE)</f>
        <v>0</v>
      </c>
      <c r="H47">
        <f>VLOOKUP(C47,[2]Sheet1!$A:$C,2,FALSE)</f>
        <v>0</v>
      </c>
      <c r="I47">
        <f>VLOOKUP(C47,[2]Sheet1!$A:$C,3,FALSE)</f>
        <v>0</v>
      </c>
      <c r="M47">
        <v>-1</v>
      </c>
      <c r="N47" s="2">
        <f>VLOOKUP(B47,[3]Sheet1!$A:$B,2,FALSE)</f>
        <v>27</v>
      </c>
      <c r="O47">
        <f>VLOOKUP(C47,[3]Sheet1!$A:$B,2,FALSE)</f>
        <v>21</v>
      </c>
    </row>
    <row r="48" spans="1:15" ht="22.2" customHeight="1">
      <c r="A48" t="s">
        <v>91</v>
      </c>
      <c r="B48" t="s">
        <v>84</v>
      </c>
      <c r="C48" t="s">
        <v>86</v>
      </c>
      <c r="D48">
        <f>VLOOKUP(B48,[1]Sheet1!$A:$B,2,FALSE)</f>
        <v>23</v>
      </c>
      <c r="E48">
        <f>VLOOKUP(C48,[1]Sheet1!$A:$B,2,FALSE)</f>
        <v>28</v>
      </c>
      <c r="F48">
        <f>VLOOKUP(B48,[2]Sheet1!$A:$C,2,FALSE)</f>
        <v>0</v>
      </c>
      <c r="G48">
        <f>VLOOKUP(B48,[2]Sheet1!$A:$C,3,FALSE)</f>
        <v>1</v>
      </c>
      <c r="H48">
        <f>VLOOKUP(C48,[2]Sheet1!$A:$C,2,FALSE)</f>
        <v>0</v>
      </c>
      <c r="I48">
        <f>VLOOKUP(C48,[2]Sheet1!$A:$C,3,FALSE)</f>
        <v>0</v>
      </c>
      <c r="M48">
        <v>1</v>
      </c>
      <c r="N48" s="2">
        <f>VLOOKUP(B48,[3]Sheet1!$A:$B,2,FALSE)</f>
        <v>13</v>
      </c>
      <c r="O48">
        <f>VLOOKUP(C48,[3]Sheet1!$A:$B,2,FALSE)</f>
        <v>23</v>
      </c>
    </row>
    <row r="49" spans="1:15" ht="22.2" customHeight="1">
      <c r="A49" t="s">
        <v>92</v>
      </c>
      <c r="B49" t="s">
        <v>56</v>
      </c>
      <c r="C49" t="s">
        <v>19</v>
      </c>
      <c r="D49">
        <f>VLOOKUP(B49,[1]Sheet1!$A:$B,2,FALSE)</f>
        <v>11</v>
      </c>
      <c r="E49">
        <f>VLOOKUP(C49,[1]Sheet1!$A:$B,2,FALSE)</f>
        <v>18</v>
      </c>
      <c r="F49">
        <f>VLOOKUP(B49,[2]Sheet1!$A:$C,2,FALSE)</f>
        <v>1</v>
      </c>
      <c r="G49">
        <f>VLOOKUP(B49,[2]Sheet1!$A:$C,3,FALSE)</f>
        <v>3</v>
      </c>
      <c r="H49">
        <f>VLOOKUP(C49,[2]Sheet1!$A:$C,2,FALSE)</f>
        <v>0</v>
      </c>
      <c r="I49">
        <f>VLOOKUP(C49,[2]Sheet1!$A:$C,3,FALSE)</f>
        <v>0</v>
      </c>
      <c r="M49">
        <v>1</v>
      </c>
      <c r="N49" s="2">
        <f>VLOOKUP(B49,[3]Sheet1!$A:$B,2,FALSE)</f>
        <v>1</v>
      </c>
      <c r="O49">
        <f>VLOOKUP(C49,[3]Sheet1!$A:$B,2,FALSE)</f>
        <v>24</v>
      </c>
    </row>
    <row r="50" spans="1:15" ht="22.2" customHeight="1">
      <c r="A50" t="s">
        <v>93</v>
      </c>
      <c r="B50" t="s">
        <v>74</v>
      </c>
      <c r="C50" t="s">
        <v>45</v>
      </c>
      <c r="D50">
        <f>VLOOKUP(B50,[1]Sheet1!$A:$B,2,FALSE)</f>
        <v>7</v>
      </c>
      <c r="E50">
        <f>VLOOKUP(C50,[1]Sheet1!$A:$B,2,FALSE)</f>
        <v>13</v>
      </c>
      <c r="F50">
        <f>VLOOKUP(B50,[2]Sheet1!$A:$C,2,FALSE)</f>
        <v>0</v>
      </c>
      <c r="G50">
        <f>VLOOKUP(B50,[2]Sheet1!$A:$C,3,FALSE)</f>
        <v>2</v>
      </c>
      <c r="H50">
        <f>VLOOKUP(C50,[2]Sheet1!$A:$C,2,FALSE)</f>
        <v>0</v>
      </c>
      <c r="I50">
        <f>VLOOKUP(C50,[2]Sheet1!$A:$C,3,FALSE)</f>
        <v>2</v>
      </c>
      <c r="M50">
        <v>-1</v>
      </c>
      <c r="N50" s="2">
        <f>VLOOKUP(B50,[3]Sheet1!$A:$B,2,FALSE)</f>
        <v>18</v>
      </c>
      <c r="O50">
        <f>VLOOKUP(C50,[3]Sheet1!$A:$B,2,FALSE)</f>
        <v>15</v>
      </c>
    </row>
    <row r="51" spans="1:15" ht="22.2" customHeight="1">
      <c r="A51" t="s">
        <v>94</v>
      </c>
      <c r="B51" t="s">
        <v>22</v>
      </c>
      <c r="C51" t="s">
        <v>53</v>
      </c>
      <c r="D51">
        <f>VLOOKUP(B51,[1]Sheet1!$A:$B,2,FALSE)</f>
        <v>8</v>
      </c>
      <c r="E51">
        <f>VLOOKUP(C51,[1]Sheet1!$A:$B,2,FALSE)</f>
        <v>15</v>
      </c>
      <c r="F51">
        <f>VLOOKUP(B51,[2]Sheet1!$A:$C,2,FALSE)</f>
        <v>1</v>
      </c>
      <c r="G51">
        <f>VLOOKUP(B51,[2]Sheet1!$A:$C,3,FALSE)</f>
        <v>4</v>
      </c>
      <c r="H51">
        <f>VLOOKUP(C51,[2]Sheet1!$A:$C,2,FALSE)</f>
        <v>0</v>
      </c>
      <c r="I51">
        <f>VLOOKUP(C51,[2]Sheet1!$A:$C,3,FALSE)</f>
        <v>0</v>
      </c>
      <c r="M51">
        <v>0</v>
      </c>
      <c r="N51" s="2">
        <f>VLOOKUP(B51,[3]Sheet1!$A:$B,2,FALSE)</f>
        <v>6</v>
      </c>
      <c r="O51">
        <f>VLOOKUP(C51,[3]Sheet1!$A:$B,2,FALSE)</f>
        <v>22</v>
      </c>
    </row>
    <row r="52" spans="1:15" ht="22.2" customHeight="1">
      <c r="A52" t="s">
        <v>95</v>
      </c>
      <c r="B52" t="s">
        <v>39</v>
      </c>
      <c r="C52" t="s">
        <v>76</v>
      </c>
      <c r="D52">
        <f>VLOOKUP(B52,[1]Sheet1!$A:$B,2,FALSE)</f>
        <v>40</v>
      </c>
      <c r="E52">
        <f>VLOOKUP(C52,[1]Sheet1!$A:$B,2,FALSE)</f>
        <v>6</v>
      </c>
      <c r="F52">
        <f>VLOOKUP(B52,[2]Sheet1!$A:$C,2,FALSE)</f>
        <v>0</v>
      </c>
      <c r="G52">
        <f>VLOOKUP(B52,[2]Sheet1!$A:$C,3,FALSE)</f>
        <v>0</v>
      </c>
      <c r="H52">
        <f>VLOOKUP(C52,[2]Sheet1!$A:$C,2,FALSE)</f>
        <v>2</v>
      </c>
      <c r="I52">
        <f>VLOOKUP(C52,[2]Sheet1!$A:$C,3,FALSE)</f>
        <v>5</v>
      </c>
      <c r="M52">
        <v>1</v>
      </c>
      <c r="N52" s="2">
        <f>VLOOKUP(B52,[3]Sheet1!$A:$B,2,FALSE)</f>
        <v>20</v>
      </c>
      <c r="O52">
        <f>VLOOKUP(C52,[3]Sheet1!$A:$B,2,FALSE)</f>
        <v>2</v>
      </c>
    </row>
    <row r="53" spans="1:15" ht="22.2" customHeight="1">
      <c r="A53" t="s">
        <v>96</v>
      </c>
      <c r="B53" t="s">
        <v>12</v>
      </c>
      <c r="C53" t="s">
        <v>66</v>
      </c>
      <c r="D53">
        <f>VLOOKUP(B53,[1]Sheet1!$A:$B,2,FALSE)</f>
        <v>20</v>
      </c>
      <c r="E53">
        <f>VLOOKUP(C53,[1]Sheet1!$A:$B,2,FALSE)</f>
        <v>12</v>
      </c>
      <c r="F53">
        <f>VLOOKUP(B53,[2]Sheet1!$A:$C,2,FALSE)</f>
        <v>0</v>
      </c>
      <c r="G53">
        <f>VLOOKUP(B53,[2]Sheet1!$A:$C,3,FALSE)</f>
        <v>2</v>
      </c>
      <c r="H53">
        <f>VLOOKUP(C53,[2]Sheet1!$A:$C,2,FALSE)</f>
        <v>1</v>
      </c>
      <c r="I53">
        <f>VLOOKUP(C53,[2]Sheet1!$A:$C,3,FALSE)</f>
        <v>4</v>
      </c>
      <c r="M53">
        <v>-1</v>
      </c>
      <c r="N53" s="2">
        <f>VLOOKUP(B53,[3]Sheet1!$A:$B,2,FALSE)</f>
        <v>9</v>
      </c>
      <c r="O53">
        <f>VLOOKUP(C53,[3]Sheet1!$A:$B,2,FALSE)</f>
        <v>4</v>
      </c>
    </row>
    <row r="54" spans="1:15" ht="22.2" customHeight="1">
      <c r="A54" t="s">
        <v>97</v>
      </c>
      <c r="B54" t="s">
        <v>29</v>
      </c>
      <c r="C54" t="s">
        <v>84</v>
      </c>
      <c r="D54">
        <f>VLOOKUP(B54,[1]Sheet1!$A:$B,2,FALSE)</f>
        <v>2</v>
      </c>
      <c r="E54">
        <f>VLOOKUP(C54,[1]Sheet1!$A:$B,2,FALSE)</f>
        <v>23</v>
      </c>
      <c r="F54">
        <f>VLOOKUP(B54,[2]Sheet1!$A:$C,2,FALSE)</f>
        <v>3</v>
      </c>
      <c r="G54">
        <f>VLOOKUP(B54,[2]Sheet1!$A:$C,3,FALSE)</f>
        <v>7</v>
      </c>
      <c r="H54">
        <f>VLOOKUP(C54,[2]Sheet1!$A:$C,2,FALSE)</f>
        <v>0</v>
      </c>
      <c r="I54">
        <f>VLOOKUP(C54,[2]Sheet1!$A:$C,3,FALSE)</f>
        <v>1</v>
      </c>
      <c r="M54">
        <v>1</v>
      </c>
      <c r="N54" s="2">
        <f>VLOOKUP(B54,[3]Sheet1!$A:$B,2,FALSE)</f>
        <v>5</v>
      </c>
      <c r="O54">
        <f>VLOOKUP(C54,[3]Sheet1!$A:$B,2,FALSE)</f>
        <v>13</v>
      </c>
    </row>
    <row r="55" spans="1:15" ht="22.2" customHeight="1">
      <c r="A55" t="s">
        <v>98</v>
      </c>
      <c r="B55" t="s">
        <v>67</v>
      </c>
      <c r="C55" t="s">
        <v>10</v>
      </c>
      <c r="D55">
        <f>VLOOKUP(B55,[1]Sheet1!$A:$B,2,FALSE)</f>
        <v>19</v>
      </c>
      <c r="E55">
        <f>VLOOKUP(C55,[1]Sheet1!$A:$B,2,FALSE)</f>
        <v>42</v>
      </c>
      <c r="F55">
        <f>VLOOKUP(B55,[2]Sheet1!$A:$C,2,FALSE)</f>
        <v>0</v>
      </c>
      <c r="G55">
        <f>VLOOKUP(B55,[2]Sheet1!$A:$C,3,FALSE)</f>
        <v>1</v>
      </c>
      <c r="H55">
        <f>VLOOKUP(C55,[2]Sheet1!$A:$C,2,FALSE)</f>
        <v>0</v>
      </c>
      <c r="I55">
        <f>VLOOKUP(C55,[2]Sheet1!$A:$C,3,FALSE)</f>
        <v>2</v>
      </c>
      <c r="M55">
        <v>-1</v>
      </c>
      <c r="N55" s="2">
        <f>VLOOKUP(B55,[3]Sheet1!$A:$B,2,FALSE)</f>
        <v>11</v>
      </c>
      <c r="O55">
        <f>VLOOKUP(C55,[3]Sheet1!$A:$B,2,FALSE)</f>
        <v>19</v>
      </c>
    </row>
    <row r="56" spans="1:15" ht="22.2" customHeight="1">
      <c r="A56" t="s">
        <v>99</v>
      </c>
      <c r="B56" t="s">
        <v>83</v>
      </c>
      <c r="C56" t="s">
        <v>30</v>
      </c>
      <c r="D56">
        <f>VLOOKUP(B56,[1]Sheet1!$A:$B,2,FALSE)</f>
        <v>32</v>
      </c>
      <c r="E56">
        <f>VLOOKUP(C56,[1]Sheet1!$A:$B,2,FALSE)</f>
        <v>22</v>
      </c>
      <c r="F56">
        <f>VLOOKUP(B56,[2]Sheet1!$A:$C,2,FALSE)</f>
        <v>0</v>
      </c>
      <c r="G56">
        <f>VLOOKUP(B56,[2]Sheet1!$A:$C,3,FALSE)</f>
        <v>0</v>
      </c>
      <c r="H56">
        <f>VLOOKUP(C56,[2]Sheet1!$A:$C,2,FALSE)</f>
        <v>0</v>
      </c>
      <c r="I56">
        <f>VLOOKUP(C56,[2]Sheet1!$A:$C,3,FALSE)</f>
        <v>2</v>
      </c>
      <c r="M56">
        <v>-1</v>
      </c>
      <c r="N56" s="2">
        <f>VLOOKUP(B56,[3]Sheet1!$A:$B,2,FALSE)</f>
        <v>21</v>
      </c>
      <c r="O56">
        <f>VLOOKUP(C56,[3]Sheet1!$A:$B,2,FALSE)</f>
        <v>10</v>
      </c>
    </row>
    <row r="57" spans="1:15" ht="22.2" customHeight="1">
      <c r="A57" t="s">
        <v>100</v>
      </c>
      <c r="B57" t="s">
        <v>56</v>
      </c>
      <c r="C57" t="s">
        <v>45</v>
      </c>
      <c r="D57">
        <f>VLOOKUP(B57,[1]Sheet1!$A:$B,2,FALSE)</f>
        <v>11</v>
      </c>
      <c r="E57">
        <f>VLOOKUP(C57,[1]Sheet1!$A:$B,2,FALSE)</f>
        <v>13</v>
      </c>
      <c r="F57">
        <f>VLOOKUP(B57,[2]Sheet1!$A:$C,2,FALSE)</f>
        <v>1</v>
      </c>
      <c r="G57">
        <f>VLOOKUP(B57,[2]Sheet1!$A:$C,3,FALSE)</f>
        <v>3</v>
      </c>
      <c r="H57">
        <f>VLOOKUP(C57,[2]Sheet1!$A:$C,2,FALSE)</f>
        <v>0</v>
      </c>
      <c r="I57">
        <f>VLOOKUP(C57,[2]Sheet1!$A:$C,3,FALSE)</f>
        <v>2</v>
      </c>
      <c r="M57">
        <v>1</v>
      </c>
      <c r="N57" s="2">
        <f>VLOOKUP(B57,[3]Sheet1!$A:$B,2,FALSE)</f>
        <v>1</v>
      </c>
      <c r="O57">
        <f>VLOOKUP(C57,[3]Sheet1!$A:$B,2,FALSE)</f>
        <v>15</v>
      </c>
    </row>
    <row r="58" spans="1:15" ht="22.2" customHeight="1">
      <c r="A58" t="s">
        <v>101</v>
      </c>
      <c r="B58" t="s">
        <v>22</v>
      </c>
      <c r="C58" t="s">
        <v>39</v>
      </c>
      <c r="D58">
        <f>VLOOKUP(B58,[1]Sheet1!$A:$B,2,FALSE)</f>
        <v>8</v>
      </c>
      <c r="E58">
        <f>VLOOKUP(C58,[1]Sheet1!$A:$B,2,FALSE)</f>
        <v>40</v>
      </c>
      <c r="F58">
        <f>VLOOKUP(B58,[2]Sheet1!$A:$C,2,FALSE)</f>
        <v>1</v>
      </c>
      <c r="G58">
        <f>VLOOKUP(B58,[2]Sheet1!$A:$C,3,FALSE)</f>
        <v>4</v>
      </c>
      <c r="H58">
        <f>VLOOKUP(C58,[2]Sheet1!$A:$C,2,FALSE)</f>
        <v>0</v>
      </c>
      <c r="I58">
        <f>VLOOKUP(C58,[2]Sheet1!$A:$C,3,FALSE)</f>
        <v>0</v>
      </c>
      <c r="M58">
        <v>0</v>
      </c>
      <c r="N58" s="2">
        <f>VLOOKUP(B58,[3]Sheet1!$A:$B,2,FALSE)</f>
        <v>6</v>
      </c>
      <c r="O58">
        <f>VLOOKUP(C58,[3]Sheet1!$A:$B,2,FALSE)</f>
        <v>20</v>
      </c>
    </row>
    <row r="59" spans="1:15" ht="22.2" customHeight="1">
      <c r="A59" t="s">
        <v>102</v>
      </c>
      <c r="B59" t="s">
        <v>66</v>
      </c>
      <c r="C59" t="s">
        <v>29</v>
      </c>
      <c r="D59">
        <f>VLOOKUP(B59,[1]Sheet1!$A:$B,2,FALSE)</f>
        <v>12</v>
      </c>
      <c r="E59">
        <f>VLOOKUP(C59,[1]Sheet1!$A:$B,2,FALSE)</f>
        <v>2</v>
      </c>
      <c r="F59">
        <f>VLOOKUP(B59,[2]Sheet1!$A:$C,2,FALSE)</f>
        <v>1</v>
      </c>
      <c r="G59">
        <f>VLOOKUP(B59,[2]Sheet1!$A:$C,3,FALSE)</f>
        <v>4</v>
      </c>
      <c r="H59">
        <f>VLOOKUP(C59,[2]Sheet1!$A:$C,2,FALSE)</f>
        <v>3</v>
      </c>
      <c r="I59">
        <f>VLOOKUP(C59,[2]Sheet1!$A:$C,3,FALSE)</f>
        <v>7</v>
      </c>
      <c r="M59">
        <v>-1</v>
      </c>
      <c r="N59" s="2">
        <f>VLOOKUP(B59,[3]Sheet1!$A:$B,2,FALSE)</f>
        <v>4</v>
      </c>
      <c r="O59">
        <f>VLOOKUP(C59,[3]Sheet1!$A:$B,2,FALSE)</f>
        <v>5</v>
      </c>
    </row>
    <row r="60" spans="1:15" ht="22.2" customHeight="1">
      <c r="A60" t="s">
        <v>103</v>
      </c>
      <c r="B60" t="s">
        <v>10</v>
      </c>
      <c r="C60" t="s">
        <v>30</v>
      </c>
      <c r="D60">
        <f>VLOOKUP(B60,[1]Sheet1!$A:$B,2,FALSE)</f>
        <v>42</v>
      </c>
      <c r="E60">
        <f>VLOOKUP(C60,[1]Sheet1!$A:$B,2,FALSE)</f>
        <v>22</v>
      </c>
      <c r="F60">
        <f>VLOOKUP(B60,[2]Sheet1!$A:$C,2,FALSE)</f>
        <v>0</v>
      </c>
      <c r="G60">
        <f>VLOOKUP(B60,[2]Sheet1!$A:$C,3,FALSE)</f>
        <v>2</v>
      </c>
      <c r="H60">
        <f>VLOOKUP(C60,[2]Sheet1!$A:$C,2,FALSE)</f>
        <v>0</v>
      </c>
      <c r="I60">
        <f>VLOOKUP(C60,[2]Sheet1!$A:$C,3,FALSE)</f>
        <v>2</v>
      </c>
      <c r="M60">
        <v>-1</v>
      </c>
      <c r="N60" s="2">
        <f>VLOOKUP(B60,[3]Sheet1!$A:$B,2,FALSE)</f>
        <v>19</v>
      </c>
      <c r="O60">
        <f>VLOOKUP(C60,[3]Sheet1!$A:$B,2,FALSE)</f>
        <v>10</v>
      </c>
    </row>
    <row r="61" spans="1:15" ht="22.2" customHeight="1">
      <c r="A61" t="s">
        <v>104</v>
      </c>
      <c r="B61" t="s">
        <v>56</v>
      </c>
      <c r="C61" t="s">
        <v>39</v>
      </c>
      <c r="D61">
        <f>VLOOKUP(B61,[1]Sheet1!$A:$B,2,FALSE)</f>
        <v>11</v>
      </c>
      <c r="E61">
        <f>VLOOKUP(C61,[1]Sheet1!$A:$B,2,FALSE)</f>
        <v>40</v>
      </c>
      <c r="F61">
        <f>VLOOKUP(B61,[2]Sheet1!$A:$C,2,FALSE)</f>
        <v>1</v>
      </c>
      <c r="G61">
        <f>VLOOKUP(B61,[2]Sheet1!$A:$C,3,FALSE)</f>
        <v>3</v>
      </c>
      <c r="H61">
        <f>VLOOKUP(C61,[2]Sheet1!$A:$C,2,FALSE)</f>
        <v>0</v>
      </c>
      <c r="I61">
        <f>VLOOKUP(C61,[2]Sheet1!$A:$C,3,FALSE)</f>
        <v>0</v>
      </c>
      <c r="M61">
        <v>1</v>
      </c>
      <c r="N61" s="2">
        <f>VLOOKUP(B61,[3]Sheet1!$A:$B,2,FALSE)</f>
        <v>1</v>
      </c>
      <c r="O61">
        <f>VLOOKUP(C61,[3]Sheet1!$A:$B,2,FALSE)</f>
        <v>20</v>
      </c>
    </row>
    <row r="62" spans="1:15" ht="22.2" customHeight="1">
      <c r="A62" t="s">
        <v>28</v>
      </c>
      <c r="B62" t="s">
        <v>29</v>
      </c>
      <c r="C62" t="s">
        <v>30</v>
      </c>
      <c r="D62">
        <f>VLOOKUP(B62,[1]Sheet1!$A:$B,2,FALSE)</f>
        <v>2</v>
      </c>
      <c r="E62">
        <f>VLOOKUP(C62,[1]Sheet1!$A:$B,2,FALSE)</f>
        <v>22</v>
      </c>
      <c r="F62">
        <f>VLOOKUP(B62,[2]Sheet1!$A:$C,2,FALSE)</f>
        <v>3</v>
      </c>
      <c r="G62">
        <f>VLOOKUP(B62,[2]Sheet1!$A:$C,3,FALSE)</f>
        <v>7</v>
      </c>
      <c r="H62">
        <f>VLOOKUP(C62,[2]Sheet1!$A:$C,2,FALSE)</f>
        <v>0</v>
      </c>
      <c r="I62">
        <f>VLOOKUP(C62,[2]Sheet1!$A:$C,3,FALSE)</f>
        <v>2</v>
      </c>
      <c r="M62">
        <v>1</v>
      </c>
      <c r="N62" s="2">
        <f>VLOOKUP(B62,[3]Sheet1!$A:$B,2,FALSE)</f>
        <v>5</v>
      </c>
      <c r="O62">
        <f>VLOOKUP(C62,[3]Sheet1!$A:$B,2,FALSE)</f>
        <v>10</v>
      </c>
    </row>
    <row r="63" spans="1:15" ht="22.2" customHeight="1">
      <c r="A63" t="s">
        <v>105</v>
      </c>
      <c r="B63" t="s">
        <v>56</v>
      </c>
      <c r="C63" t="s">
        <v>29</v>
      </c>
      <c r="D63">
        <f>VLOOKUP(B63,[1]Sheet1!$A:$B,2,FALSE)</f>
        <v>11</v>
      </c>
      <c r="E63">
        <f>VLOOKUP(C63,[1]Sheet1!$A:$B,2,FALSE)</f>
        <v>2</v>
      </c>
      <c r="F63">
        <f>VLOOKUP(B63,[2]Sheet1!$A:$C,2,FALSE)</f>
        <v>1</v>
      </c>
      <c r="G63">
        <f>VLOOKUP(B63,[2]Sheet1!$A:$C,3,FALSE)</f>
        <v>3</v>
      </c>
      <c r="H63">
        <f>VLOOKUP(C63,[2]Sheet1!$A:$C,2,FALSE)</f>
        <v>3</v>
      </c>
      <c r="I63">
        <f>VLOOKUP(C63,[2]Sheet1!$A:$C,3,FALSE)</f>
        <v>7</v>
      </c>
      <c r="M63">
        <v>-1</v>
      </c>
      <c r="N63" s="2">
        <f>VLOOKUP(B63,[3]Sheet1!$A:$B,2,FALSE)</f>
        <v>1</v>
      </c>
      <c r="O63">
        <f>VLOOKUP(C63,[3]Sheet1!$A:$B,2,FALSE)</f>
        <v>5</v>
      </c>
    </row>
    <row r="64" spans="1:15" ht="22.2" customHeight="1">
      <c r="A64" t="s">
        <v>106</v>
      </c>
      <c r="B64" t="s">
        <v>39</v>
      </c>
      <c r="C64" t="s">
        <v>30</v>
      </c>
      <c r="D64">
        <f>VLOOKUP(B64,[4]Sheet1!$A:$B,2,FALSE)</f>
        <v>29</v>
      </c>
      <c r="E64">
        <f>VLOOKUP(C64,[1]Sheet1!$A:$B,2,FALSE)</f>
        <v>22</v>
      </c>
      <c r="F64">
        <f>VLOOKUP(B64,[2]Sheet1!$A:$C,2,FALSE)</f>
        <v>0</v>
      </c>
      <c r="G64">
        <f>VLOOKUP(B64,[2]Sheet1!$A:$C,3,FALSE)</f>
        <v>0</v>
      </c>
      <c r="H64">
        <f>VLOOKUP(C64,[2]Sheet1!$A:$C,2,FALSE)</f>
        <v>0</v>
      </c>
      <c r="I64">
        <f>VLOOKUP(C64,[2]Sheet1!$A:$C,3,FALSE)</f>
        <v>2</v>
      </c>
      <c r="M64">
        <v>-1</v>
      </c>
      <c r="N64" s="2">
        <f>VLOOKUP(B64,[3]Sheet1!$A:$B,2,FALSE)</f>
        <v>20</v>
      </c>
      <c r="O64">
        <f>VLOOKUP(C64,[3]Sheet1!$A:$B,2,FALSE)</f>
        <v>10</v>
      </c>
    </row>
    <row r="65" spans="1:15" ht="22.2" customHeight="1">
      <c r="A65" t="s">
        <v>107</v>
      </c>
      <c r="B65" t="s">
        <v>56</v>
      </c>
      <c r="C65" t="s">
        <v>33</v>
      </c>
      <c r="D65">
        <f>VLOOKUP(B65,[4]Sheet1!$A:$B,2,FALSE)</f>
        <v>19</v>
      </c>
      <c r="E65">
        <f>VLOOKUP(C65,[4]Sheet1!$A:$B,2,FALSE)</f>
        <v>25</v>
      </c>
      <c r="F65">
        <f>VLOOKUP(B65,[5]Sheet1!$A:$C,2,FALSE)</f>
        <v>4</v>
      </c>
      <c r="G65">
        <f>VLOOKUP(B65,[5]Sheet1!$A:$C,3,FALSE)</f>
        <v>5</v>
      </c>
      <c r="H65">
        <f>VLOOKUP(C65,[5]Sheet1!$A:$C,2,FALSE)</f>
        <v>0</v>
      </c>
      <c r="I65">
        <f>VLOOKUP(C65,[5]Sheet1!$A:$C,3,FALSE)</f>
        <v>0</v>
      </c>
      <c r="M65">
        <v>1</v>
      </c>
      <c r="N65" s="2">
        <f>VLOOKUP(B65,[6]Sheet1!$A:$B,2,FALSE)</f>
        <v>2</v>
      </c>
      <c r="O65">
        <f>VLOOKUP(C65,[6]Sheet1!$A:$B,2,FALSE)</f>
        <v>28</v>
      </c>
    </row>
    <row r="66" spans="1:15" ht="22.2" customHeight="1">
      <c r="A66" t="s">
        <v>108</v>
      </c>
      <c r="B66" t="s">
        <v>40</v>
      </c>
      <c r="C66" t="s">
        <v>77</v>
      </c>
      <c r="D66">
        <f>VLOOKUP(B66,[4]Sheet1!$A:$B,2,FALSE)</f>
        <v>29</v>
      </c>
      <c r="E66">
        <f>VLOOKUP(C66,[4]Sheet1!$A:$B,2,FALSE)</f>
        <v>39</v>
      </c>
      <c r="F66">
        <f>VLOOKUP(B66,[5]Sheet1!$A:$C,2,FALSE)</f>
        <v>1</v>
      </c>
      <c r="G66">
        <f>VLOOKUP(B66,[5]Sheet1!$A:$C,3,FALSE)</f>
        <v>1</v>
      </c>
      <c r="H66">
        <f>VLOOKUP(C66,[5]Sheet1!$A:$C,2,FALSE)</f>
        <v>1</v>
      </c>
      <c r="I66">
        <f>VLOOKUP(C66,[5]Sheet1!$A:$C,3,FALSE)</f>
        <v>1</v>
      </c>
      <c r="M66">
        <v>-1</v>
      </c>
      <c r="N66" s="2">
        <f>VLOOKUP(B66,[6]Sheet1!$A:$B,2,FALSE)</f>
        <v>16</v>
      </c>
      <c r="O66">
        <f>VLOOKUP(C66,[6]Sheet1!$A:$B,2,FALSE)</f>
        <v>23</v>
      </c>
    </row>
    <row r="67" spans="1:15" ht="22.2" customHeight="1">
      <c r="A67" t="s">
        <v>109</v>
      </c>
      <c r="B67" t="s">
        <v>56</v>
      </c>
      <c r="C67" t="s">
        <v>40</v>
      </c>
      <c r="D67">
        <f>VLOOKUP(B67,[4]Sheet1!$A:$B,2,FALSE)</f>
        <v>19</v>
      </c>
      <c r="E67">
        <f>VLOOKUP(C67,[4]Sheet1!$A:$B,2,FALSE)</f>
        <v>29</v>
      </c>
      <c r="F67">
        <f>VLOOKUP(B67,[5]Sheet1!$A:$C,2,FALSE)</f>
        <v>4</v>
      </c>
      <c r="G67">
        <f>VLOOKUP(B67,[5]Sheet1!$A:$C,3,FALSE)</f>
        <v>5</v>
      </c>
      <c r="H67">
        <f>VLOOKUP(C67,[5]Sheet1!$A:$C,2,FALSE)</f>
        <v>1</v>
      </c>
      <c r="I67">
        <f>VLOOKUP(C67,[5]Sheet1!$A:$C,3,FALSE)</f>
        <v>1</v>
      </c>
      <c r="M67">
        <v>1</v>
      </c>
      <c r="N67" s="2">
        <f>VLOOKUP(B67,[6]Sheet1!$A:$B,2,FALSE)</f>
        <v>2</v>
      </c>
      <c r="O67">
        <f>VLOOKUP(C67,[6]Sheet1!$A:$B,2,FALSE)</f>
        <v>16</v>
      </c>
    </row>
    <row r="68" spans="1:15" ht="22.2" customHeight="1">
      <c r="A68" t="s">
        <v>110</v>
      </c>
      <c r="B68" t="s">
        <v>77</v>
      </c>
      <c r="C68" t="s">
        <v>33</v>
      </c>
      <c r="D68">
        <f>VLOOKUP(B68,[4]Sheet1!$A:$B,2,FALSE)</f>
        <v>39</v>
      </c>
      <c r="E68">
        <f>VLOOKUP(C68,[4]Sheet1!$A:$B,2,FALSE)</f>
        <v>25</v>
      </c>
      <c r="F68">
        <f>VLOOKUP(B68,[5]Sheet1!$A:$C,2,FALSE)</f>
        <v>1</v>
      </c>
      <c r="G68">
        <f>VLOOKUP(B68,[5]Sheet1!$A:$C,3,FALSE)</f>
        <v>1</v>
      </c>
      <c r="H68">
        <f>VLOOKUP(C68,[5]Sheet1!$A:$C,2,FALSE)</f>
        <v>0</v>
      </c>
      <c r="I68">
        <f>VLOOKUP(C68,[5]Sheet1!$A:$C,3,FALSE)</f>
        <v>0</v>
      </c>
      <c r="M68">
        <v>1</v>
      </c>
      <c r="N68" s="2">
        <f>VLOOKUP(B68,[6]Sheet1!$A:$B,2,FALSE)</f>
        <v>23</v>
      </c>
      <c r="O68">
        <f>VLOOKUP(C68,[6]Sheet1!$A:$B,2,FALSE)</f>
        <v>28</v>
      </c>
    </row>
    <row r="69" spans="1:15" ht="22.2" customHeight="1">
      <c r="A69" t="s">
        <v>111</v>
      </c>
      <c r="B69" t="s">
        <v>77</v>
      </c>
      <c r="C69" t="s">
        <v>56</v>
      </c>
      <c r="D69">
        <f>VLOOKUP(B69,[4]Sheet1!$A:$B,2,FALSE)</f>
        <v>39</v>
      </c>
      <c r="E69">
        <f>VLOOKUP(C69,[4]Sheet1!$A:$B,2,FALSE)</f>
        <v>19</v>
      </c>
      <c r="F69">
        <f>VLOOKUP(B69,[5]Sheet1!$A:$C,2,FALSE)</f>
        <v>1</v>
      </c>
      <c r="G69">
        <f>VLOOKUP(B69,[5]Sheet1!$A:$C,3,FALSE)</f>
        <v>1</v>
      </c>
      <c r="H69">
        <f>VLOOKUP(C69,[5]Sheet1!$A:$C,2,FALSE)</f>
        <v>4</v>
      </c>
      <c r="I69">
        <f>VLOOKUP(C69,[5]Sheet1!$A:$C,3,FALSE)</f>
        <v>5</v>
      </c>
      <c r="M69">
        <v>-1</v>
      </c>
      <c r="N69" s="2">
        <f>VLOOKUP(B69,[6]Sheet1!$A:$B,2,FALSE)</f>
        <v>23</v>
      </c>
      <c r="O69">
        <f>VLOOKUP(C69,[6]Sheet1!$A:$B,2,FALSE)</f>
        <v>2</v>
      </c>
    </row>
    <row r="70" spans="1:15" ht="22.2" customHeight="1">
      <c r="A70" t="s">
        <v>112</v>
      </c>
      <c r="B70" t="s">
        <v>33</v>
      </c>
      <c r="C70" t="s">
        <v>40</v>
      </c>
      <c r="D70">
        <f>VLOOKUP(B70,[4]Sheet1!$A:$B,2,FALSE)</f>
        <v>25</v>
      </c>
      <c r="E70">
        <f>VLOOKUP(C70,[4]Sheet1!$A:$B,2,FALSE)</f>
        <v>29</v>
      </c>
      <c r="F70">
        <f>VLOOKUP(B70,[5]Sheet1!$A:$C,2,FALSE)</f>
        <v>0</v>
      </c>
      <c r="G70">
        <f>VLOOKUP(B70,[5]Sheet1!$A:$C,3,FALSE)</f>
        <v>0</v>
      </c>
      <c r="H70">
        <f>VLOOKUP(C70,[5]Sheet1!$A:$C,2,FALSE)</f>
        <v>1</v>
      </c>
      <c r="I70">
        <f>VLOOKUP(C70,[5]Sheet1!$A:$C,3,FALSE)</f>
        <v>1</v>
      </c>
      <c r="M70">
        <v>-1</v>
      </c>
      <c r="N70" s="2">
        <f>VLOOKUP(B70,[6]Sheet1!$A:$B,2,FALSE)</f>
        <v>28</v>
      </c>
      <c r="O70">
        <f>VLOOKUP(C70,[6]Sheet1!$A:$B,2,FALSE)</f>
        <v>16</v>
      </c>
    </row>
    <row r="71" spans="1:15" ht="22.2" customHeight="1">
      <c r="A71" t="s">
        <v>113</v>
      </c>
      <c r="B71" t="s">
        <v>66</v>
      </c>
      <c r="C71" t="s">
        <v>19</v>
      </c>
      <c r="D71">
        <f>VLOOKUP(B71,[4]Sheet1!$A:$B,2,FALSE)</f>
        <v>10</v>
      </c>
      <c r="E71">
        <f>VLOOKUP(C71,[4]Sheet1!$A:$B,2,FALSE)</f>
        <v>33</v>
      </c>
      <c r="F71">
        <f>VLOOKUP(B71,[5]Sheet1!$A:$C,2,FALSE)</f>
        <v>4</v>
      </c>
      <c r="G71">
        <f>VLOOKUP(B71,[5]Sheet1!$A:$C,3,FALSE)</f>
        <v>5</v>
      </c>
      <c r="H71">
        <f>VLOOKUP(C71,[5]Sheet1!$A:$C,2,FALSE)</f>
        <v>1</v>
      </c>
      <c r="I71">
        <f>VLOOKUP(C71,[5]Sheet1!$A:$C,3,FALSE)</f>
        <v>1</v>
      </c>
      <c r="M71">
        <v>1</v>
      </c>
      <c r="N71" s="2">
        <f>VLOOKUP(B71,[6]Sheet1!$A:$B,2,FALSE)</f>
        <v>5</v>
      </c>
      <c r="O71">
        <f>VLOOKUP(C71,[6]Sheet1!$A:$B,2,FALSE)</f>
        <v>22</v>
      </c>
    </row>
    <row r="72" spans="1:15" ht="22.2" customHeight="1">
      <c r="A72" t="s">
        <v>114</v>
      </c>
      <c r="B72" t="s">
        <v>115</v>
      </c>
      <c r="C72" t="s">
        <v>67</v>
      </c>
      <c r="D72">
        <f>VLOOKUP(B72,[4]Sheet1!$A:$B,2,FALSE)</f>
        <v>47</v>
      </c>
      <c r="E72">
        <f>VLOOKUP(C72,[4]Sheet1!$A:$B,2,FALSE)</f>
        <v>16</v>
      </c>
      <c r="F72">
        <f>VLOOKUP(B72,[5]Sheet1!$A:$C,2,FALSE)</f>
        <v>0</v>
      </c>
      <c r="G72">
        <f>VLOOKUP(B72,[5]Sheet1!$A:$C,3,FALSE)</f>
        <v>0</v>
      </c>
      <c r="H72">
        <f>VLOOKUP(C72,[5]Sheet1!$A:$C,2,FALSE)</f>
        <v>2</v>
      </c>
      <c r="I72">
        <f>VLOOKUP(C72,[5]Sheet1!$A:$C,3,FALSE)</f>
        <v>2</v>
      </c>
      <c r="M72">
        <v>0</v>
      </c>
      <c r="N72" s="2">
        <f>VLOOKUP(B72,[6]Sheet1!$A:$B,2,FALSE)</f>
        <v>32</v>
      </c>
      <c r="O72">
        <f>VLOOKUP(C72,[6]Sheet1!$A:$B,2,FALSE)</f>
        <v>11</v>
      </c>
    </row>
    <row r="73" spans="1:15" ht="22.2" customHeight="1">
      <c r="A73" t="s">
        <v>116</v>
      </c>
      <c r="B73" t="s">
        <v>66</v>
      </c>
      <c r="C73" t="s">
        <v>115</v>
      </c>
      <c r="D73">
        <f>VLOOKUP(B73,[4]Sheet1!$A:$B,2,FALSE)</f>
        <v>10</v>
      </c>
      <c r="E73">
        <f>VLOOKUP(C73,[4]Sheet1!$A:$B,2,FALSE)</f>
        <v>47</v>
      </c>
      <c r="F73">
        <f>VLOOKUP(B73,[5]Sheet1!$A:$C,2,FALSE)</f>
        <v>4</v>
      </c>
      <c r="G73">
        <f>VLOOKUP(B73,[5]Sheet1!$A:$C,3,FALSE)</f>
        <v>5</v>
      </c>
      <c r="H73">
        <f>VLOOKUP(C73,[5]Sheet1!$A:$C,2,FALSE)</f>
        <v>0</v>
      </c>
      <c r="I73">
        <f>VLOOKUP(C73,[5]Sheet1!$A:$C,3,FALSE)</f>
        <v>0</v>
      </c>
      <c r="M73">
        <v>1</v>
      </c>
      <c r="N73" s="2">
        <f>VLOOKUP(B73,[6]Sheet1!$A:$B,2,FALSE)</f>
        <v>5</v>
      </c>
      <c r="O73">
        <f>VLOOKUP(C73,[6]Sheet1!$A:$B,2,FALSE)</f>
        <v>32</v>
      </c>
    </row>
    <row r="74" spans="1:15" ht="22.2" customHeight="1">
      <c r="A74" t="s">
        <v>117</v>
      </c>
      <c r="B74" t="s">
        <v>67</v>
      </c>
      <c r="C74" t="s">
        <v>19</v>
      </c>
      <c r="D74">
        <f>VLOOKUP(B74,[4]Sheet1!$A:$B,2,FALSE)</f>
        <v>16</v>
      </c>
      <c r="E74">
        <f>VLOOKUP(C74,[4]Sheet1!$A:$B,2,FALSE)</f>
        <v>33</v>
      </c>
      <c r="F74">
        <f>VLOOKUP(B74,[5]Sheet1!$A:$C,2,FALSE)</f>
        <v>2</v>
      </c>
      <c r="G74">
        <f>VLOOKUP(B74,[5]Sheet1!$A:$C,3,FALSE)</f>
        <v>2</v>
      </c>
      <c r="H74">
        <f>VLOOKUP(C74,[5]Sheet1!$A:$C,2,FALSE)</f>
        <v>1</v>
      </c>
      <c r="I74">
        <f>VLOOKUP(C74,[5]Sheet1!$A:$C,3,FALSE)</f>
        <v>1</v>
      </c>
      <c r="M74">
        <v>1</v>
      </c>
      <c r="N74" s="2">
        <f>VLOOKUP(B74,[6]Sheet1!$A:$B,2,FALSE)</f>
        <v>11</v>
      </c>
      <c r="O74">
        <f>VLOOKUP(C74,[6]Sheet1!$A:$B,2,FALSE)</f>
        <v>22</v>
      </c>
    </row>
    <row r="75" spans="1:15" ht="22.2" customHeight="1">
      <c r="A75" t="s">
        <v>117</v>
      </c>
      <c r="B75" t="s">
        <v>67</v>
      </c>
      <c r="C75" t="s">
        <v>66</v>
      </c>
      <c r="D75">
        <f>VLOOKUP(B75,[4]Sheet1!$A:$B,2,FALSE)</f>
        <v>16</v>
      </c>
      <c r="E75">
        <f>VLOOKUP(C75,[4]Sheet1!$A:$B,2,FALSE)</f>
        <v>10</v>
      </c>
      <c r="F75">
        <f>VLOOKUP(B75,[5]Sheet1!$A:$C,2,FALSE)</f>
        <v>2</v>
      </c>
      <c r="G75">
        <f>VLOOKUP(B75,[5]Sheet1!$A:$C,3,FALSE)</f>
        <v>2</v>
      </c>
      <c r="H75">
        <f>VLOOKUP(C75,[5]Sheet1!$A:$C,2,FALSE)</f>
        <v>4</v>
      </c>
      <c r="I75">
        <f>VLOOKUP(C75,[5]Sheet1!$A:$C,3,FALSE)</f>
        <v>5</v>
      </c>
      <c r="M75">
        <v>0</v>
      </c>
      <c r="N75" s="2">
        <f>VLOOKUP(B75,[6]Sheet1!$A:$B,2,FALSE)</f>
        <v>11</v>
      </c>
      <c r="O75">
        <f>VLOOKUP(C75,[6]Sheet1!$A:$B,2,FALSE)</f>
        <v>5</v>
      </c>
    </row>
    <row r="76" spans="1:15" ht="22.2" customHeight="1">
      <c r="A76" t="s">
        <v>118</v>
      </c>
      <c r="B76" t="s">
        <v>19</v>
      </c>
      <c r="C76" t="s">
        <v>115</v>
      </c>
      <c r="D76">
        <f>VLOOKUP(B76,[4]Sheet1!$A:$B,2,FALSE)</f>
        <v>33</v>
      </c>
      <c r="E76">
        <f>VLOOKUP(C76,[4]Sheet1!$A:$B,2,FALSE)</f>
        <v>47</v>
      </c>
      <c r="F76">
        <f>VLOOKUP(B76,[5]Sheet1!$A:$C,2,FALSE)</f>
        <v>1</v>
      </c>
      <c r="G76">
        <f>VLOOKUP(B76,[5]Sheet1!$A:$C,3,FALSE)</f>
        <v>1</v>
      </c>
      <c r="H76">
        <f>VLOOKUP(C76,[5]Sheet1!$A:$C,2,FALSE)</f>
        <v>0</v>
      </c>
      <c r="I76">
        <f>VLOOKUP(C76,[5]Sheet1!$A:$C,3,FALSE)</f>
        <v>0</v>
      </c>
      <c r="M76">
        <v>1</v>
      </c>
      <c r="N76" s="2">
        <f>VLOOKUP(B76,[6]Sheet1!$A:$B,2,FALSE)</f>
        <v>22</v>
      </c>
      <c r="O76">
        <f>VLOOKUP(C76,[6]Sheet1!$A:$B,2,FALSE)</f>
        <v>32</v>
      </c>
    </row>
    <row r="77" spans="1:15" ht="22.2" customHeight="1">
      <c r="A77" t="s">
        <v>119</v>
      </c>
      <c r="B77" t="s">
        <v>63</v>
      </c>
      <c r="C77" t="s">
        <v>120</v>
      </c>
      <c r="D77">
        <f>VLOOKUP(B77,[4]Sheet1!$A:$B,2,FALSE)</f>
        <v>9</v>
      </c>
      <c r="E77">
        <f>VLOOKUP(C77,[4]Sheet1!$A:$B,2,FALSE)</f>
        <v>32</v>
      </c>
      <c r="F77">
        <f>VLOOKUP(B77,[5]Sheet1!$A:$C,2,FALSE)</f>
        <v>5</v>
      </c>
      <c r="G77">
        <f>VLOOKUP(B77,[5]Sheet1!$A:$C,3,FALSE)</f>
        <v>6</v>
      </c>
      <c r="H77">
        <f>VLOOKUP(C77,[5]Sheet1!$A:$C,2,FALSE)</f>
        <v>3</v>
      </c>
      <c r="I77">
        <f>VLOOKUP(C77,[5]Sheet1!$A:$C,3,FALSE)</f>
        <v>3</v>
      </c>
      <c r="M77">
        <v>1</v>
      </c>
      <c r="N77" s="2">
        <f>VLOOKUP(B77,[6]Sheet1!$A:$B,2,FALSE)</f>
        <v>9</v>
      </c>
      <c r="O77">
        <f>VLOOKUP(C77,[6]Sheet1!$A:$B,2,FALSE)</f>
        <v>24</v>
      </c>
    </row>
    <row r="78" spans="1:15" ht="22.2" customHeight="1">
      <c r="A78" t="s">
        <v>121</v>
      </c>
      <c r="B78" t="s">
        <v>122</v>
      </c>
      <c r="C78" t="s">
        <v>123</v>
      </c>
      <c r="D78">
        <f>VLOOKUP(B78,[4]Sheet1!$A:$B,2,FALSE)</f>
        <v>44</v>
      </c>
      <c r="E78">
        <f>VLOOKUP(C78,[4]Sheet1!$A:$B,2,FALSE)</f>
        <v>3</v>
      </c>
      <c r="F78">
        <f>VLOOKUP(B78,[5]Sheet1!$A:$C,2,FALSE)</f>
        <v>1</v>
      </c>
      <c r="G78">
        <f>VLOOKUP(B78,[5]Sheet1!$A:$C,3,FALSE)</f>
        <v>1</v>
      </c>
      <c r="H78">
        <f>VLOOKUP(C78,[5]Sheet1!$A:$C,2,FALSE)</f>
        <v>4</v>
      </c>
      <c r="I78">
        <f>VLOOKUP(C78,[5]Sheet1!$A:$C,3,FALSE)</f>
        <v>5</v>
      </c>
      <c r="M78">
        <v>-1</v>
      </c>
      <c r="N78" s="2">
        <f>VLOOKUP(B78,[6]Sheet1!$A:$B,2,FALSE)</f>
        <v>29</v>
      </c>
      <c r="O78">
        <f>VLOOKUP(C78,[6]Sheet1!$A:$B,2,FALSE)</f>
        <v>10</v>
      </c>
    </row>
    <row r="79" spans="1:15" ht="22.2" customHeight="1">
      <c r="A79" t="s">
        <v>124</v>
      </c>
      <c r="B79" t="s">
        <v>63</v>
      </c>
      <c r="C79" t="s">
        <v>122</v>
      </c>
      <c r="D79">
        <f>VLOOKUP(B79,[4]Sheet1!$A:$B,2,FALSE)</f>
        <v>9</v>
      </c>
      <c r="E79">
        <f>VLOOKUP(C79,[4]Sheet1!$A:$B,2,FALSE)</f>
        <v>44</v>
      </c>
      <c r="F79">
        <f>VLOOKUP(B79,[5]Sheet1!$A:$C,2,FALSE)</f>
        <v>5</v>
      </c>
      <c r="G79">
        <f>VLOOKUP(B79,[5]Sheet1!$A:$C,3,FALSE)</f>
        <v>6</v>
      </c>
      <c r="H79">
        <f>VLOOKUP(C79,[5]Sheet1!$A:$C,2,FALSE)</f>
        <v>1</v>
      </c>
      <c r="I79">
        <f>VLOOKUP(C79,[5]Sheet1!$A:$C,3,FALSE)</f>
        <v>1</v>
      </c>
      <c r="M79">
        <v>1</v>
      </c>
      <c r="N79" s="2">
        <f>VLOOKUP(B79,[6]Sheet1!$A:$B,2,FALSE)</f>
        <v>9</v>
      </c>
      <c r="O79">
        <f>VLOOKUP(C79,[6]Sheet1!$A:$B,2,FALSE)</f>
        <v>29</v>
      </c>
    </row>
    <row r="80" spans="1:15" ht="22.2" customHeight="1">
      <c r="A80" t="s">
        <v>125</v>
      </c>
      <c r="B80" t="s">
        <v>123</v>
      </c>
      <c r="C80" t="s">
        <v>120</v>
      </c>
      <c r="D80">
        <f>VLOOKUP(B80,[4]Sheet1!$A:$B,2,FALSE)</f>
        <v>3</v>
      </c>
      <c r="E80">
        <f>VLOOKUP(C80,[4]Sheet1!$A:$B,2,FALSE)</f>
        <v>32</v>
      </c>
      <c r="F80">
        <f>VLOOKUP(B80,[5]Sheet1!$A:$C,2,FALSE)</f>
        <v>4</v>
      </c>
      <c r="G80">
        <f>VLOOKUP(B80,[5]Sheet1!$A:$C,3,FALSE)</f>
        <v>5</v>
      </c>
      <c r="H80">
        <f>VLOOKUP(C80,[5]Sheet1!$A:$C,2,FALSE)</f>
        <v>3</v>
      </c>
      <c r="I80">
        <f>VLOOKUP(C80,[5]Sheet1!$A:$C,3,FALSE)</f>
        <v>3</v>
      </c>
      <c r="M80">
        <v>1</v>
      </c>
      <c r="N80" s="2">
        <f>VLOOKUP(B80,[6]Sheet1!$A:$B,2,FALSE)</f>
        <v>10</v>
      </c>
      <c r="O80">
        <f>VLOOKUP(C80,[6]Sheet1!$A:$B,2,FALSE)</f>
        <v>24</v>
      </c>
    </row>
    <row r="81" spans="1:15" ht="22.2" customHeight="1">
      <c r="A81" t="s">
        <v>126</v>
      </c>
      <c r="B81" t="s">
        <v>123</v>
      </c>
      <c r="C81" t="s">
        <v>63</v>
      </c>
      <c r="D81">
        <f>VLOOKUP(B81,[4]Sheet1!$A:$B,2,FALSE)</f>
        <v>3</v>
      </c>
      <c r="E81">
        <f>VLOOKUP(C81,[4]Sheet1!$A:$B,2,FALSE)</f>
        <v>9</v>
      </c>
      <c r="F81">
        <f>VLOOKUP(B81,[5]Sheet1!$A:$C,2,FALSE)</f>
        <v>4</v>
      </c>
      <c r="G81">
        <f>VLOOKUP(B81,[5]Sheet1!$A:$C,3,FALSE)</f>
        <v>5</v>
      </c>
      <c r="H81">
        <f>VLOOKUP(C81,[5]Sheet1!$A:$C,2,FALSE)</f>
        <v>5</v>
      </c>
      <c r="I81">
        <f>VLOOKUP(C81,[5]Sheet1!$A:$C,3,FALSE)</f>
        <v>6</v>
      </c>
      <c r="M81">
        <v>0</v>
      </c>
      <c r="N81" s="2">
        <f>VLOOKUP(B81,[6]Sheet1!$A:$B,2,FALSE)</f>
        <v>10</v>
      </c>
      <c r="O81">
        <f>VLOOKUP(C81,[6]Sheet1!$A:$B,2,FALSE)</f>
        <v>9</v>
      </c>
    </row>
    <row r="82" spans="1:15" ht="22.2" customHeight="1">
      <c r="A82" t="s">
        <v>127</v>
      </c>
      <c r="B82" t="s">
        <v>120</v>
      </c>
      <c r="C82" t="s">
        <v>122</v>
      </c>
      <c r="D82">
        <f>VLOOKUP(B82,[4]Sheet1!$A:$B,2,FALSE)</f>
        <v>32</v>
      </c>
      <c r="E82">
        <f>VLOOKUP(C82,[4]Sheet1!$A:$B,2,FALSE)</f>
        <v>44</v>
      </c>
      <c r="F82">
        <f>VLOOKUP(B82,[5]Sheet1!$A:$C,2,FALSE)</f>
        <v>3</v>
      </c>
      <c r="G82">
        <f>VLOOKUP(B82,[5]Sheet1!$A:$C,3,FALSE)</f>
        <v>3</v>
      </c>
      <c r="H82">
        <f>VLOOKUP(C82,[5]Sheet1!$A:$C,2,FALSE)</f>
        <v>1</v>
      </c>
      <c r="I82">
        <f>VLOOKUP(C82,[5]Sheet1!$A:$C,3,FALSE)</f>
        <v>1</v>
      </c>
      <c r="M82">
        <v>1</v>
      </c>
      <c r="N82" s="2">
        <f>VLOOKUP(B82,[6]Sheet1!$A:$B,2,FALSE)</f>
        <v>24</v>
      </c>
      <c r="O82">
        <f>VLOOKUP(C82,[6]Sheet1!$A:$B,2,FALSE)</f>
        <v>29</v>
      </c>
    </row>
    <row r="83" spans="1:15" ht="22.2" customHeight="1">
      <c r="A83" t="s">
        <v>128</v>
      </c>
      <c r="B83" t="s">
        <v>74</v>
      </c>
      <c r="C83" t="s">
        <v>129</v>
      </c>
      <c r="D83">
        <f>VLOOKUP(B83,[4]Sheet1!$A:$B,2,FALSE)</f>
        <v>4</v>
      </c>
      <c r="E83">
        <f>VLOOKUP(C83,[4]Sheet1!$A:$B,2,FALSE)</f>
        <v>23</v>
      </c>
      <c r="F83">
        <f>VLOOKUP(B83,[5]Sheet1!$A:$C,2,FALSE)</f>
        <v>2</v>
      </c>
      <c r="G83">
        <f>VLOOKUP(B83,[5]Sheet1!$A:$C,3,FALSE)</f>
        <v>2</v>
      </c>
      <c r="H83">
        <f>VLOOKUP(C83,[5]Sheet1!$A:$C,2,FALSE)</f>
        <v>0</v>
      </c>
      <c r="I83">
        <f>VLOOKUP(C83,[5]Sheet1!$A:$C,3,FALSE)</f>
        <v>0</v>
      </c>
      <c r="M83">
        <v>1</v>
      </c>
      <c r="N83" s="2">
        <f>VLOOKUP(B83,[6]Sheet1!$A:$B,2,FALSE)</f>
        <v>12</v>
      </c>
      <c r="O83">
        <f>VLOOKUP(C83,[6]Sheet1!$A:$B,2,FALSE)</f>
        <v>25</v>
      </c>
    </row>
    <row r="84" spans="1:15" ht="22.2" customHeight="1">
      <c r="A84" t="s">
        <v>130</v>
      </c>
      <c r="B84" t="s">
        <v>131</v>
      </c>
      <c r="C84" t="s">
        <v>43</v>
      </c>
      <c r="D84">
        <f>VLOOKUP(B84,[4]Sheet1!$A:$B,2,FALSE)</f>
        <v>57</v>
      </c>
      <c r="E84">
        <f>VLOOKUP(C84,[4]Sheet1!$A:$B,2,FALSE)</f>
        <v>7</v>
      </c>
      <c r="F84">
        <f>VLOOKUP(B84,[5]Sheet1!$A:$C,2,FALSE)</f>
        <v>0</v>
      </c>
      <c r="G84">
        <f>VLOOKUP(B84,[5]Sheet1!$A:$C,3,FALSE)</f>
        <v>0</v>
      </c>
      <c r="H84">
        <f>VLOOKUP(C84,[5]Sheet1!$A:$C,2,FALSE)</f>
        <v>4</v>
      </c>
      <c r="I84">
        <f>VLOOKUP(C84,[5]Sheet1!$A:$C,3,FALSE)</f>
        <v>5</v>
      </c>
      <c r="M84">
        <v>-1</v>
      </c>
      <c r="N84" s="2">
        <f>VLOOKUP(B84,[6]Sheet1!$A:$B,2,FALSE)</f>
        <v>30</v>
      </c>
      <c r="O84">
        <f>VLOOKUP(C84,[6]Sheet1!$A:$B,2,FALSE)</f>
        <v>8</v>
      </c>
    </row>
    <row r="85" spans="1:15" ht="22.2" customHeight="1">
      <c r="A85" t="s">
        <v>132</v>
      </c>
      <c r="B85" t="s">
        <v>74</v>
      </c>
      <c r="C85" t="s">
        <v>131</v>
      </c>
      <c r="D85">
        <f>VLOOKUP(B85,[4]Sheet1!$A:$B,2,FALSE)</f>
        <v>4</v>
      </c>
      <c r="E85">
        <f>VLOOKUP(C85,[4]Sheet1!$A:$B,2,FALSE)</f>
        <v>57</v>
      </c>
      <c r="F85">
        <f>VLOOKUP(B85,[5]Sheet1!$A:$C,2,FALSE)</f>
        <v>2</v>
      </c>
      <c r="G85">
        <f>VLOOKUP(B85,[5]Sheet1!$A:$C,3,FALSE)</f>
        <v>2</v>
      </c>
      <c r="H85">
        <f>VLOOKUP(C85,[5]Sheet1!$A:$C,2,FALSE)</f>
        <v>0</v>
      </c>
      <c r="I85">
        <f>VLOOKUP(C85,[5]Sheet1!$A:$C,3,FALSE)</f>
        <v>0</v>
      </c>
      <c r="M85">
        <v>0</v>
      </c>
      <c r="N85" s="2">
        <f>VLOOKUP(B85,[6]Sheet1!$A:$B,2,FALSE)</f>
        <v>12</v>
      </c>
      <c r="O85">
        <f>VLOOKUP(C85,[6]Sheet1!$A:$B,2,FALSE)</f>
        <v>30</v>
      </c>
    </row>
    <row r="86" spans="1:15" ht="22.2" customHeight="1">
      <c r="A86" t="s">
        <v>133</v>
      </c>
      <c r="B86" t="s">
        <v>43</v>
      </c>
      <c r="C86" t="s">
        <v>129</v>
      </c>
      <c r="D86">
        <f>VLOOKUP(B86,[4]Sheet1!$A:$B,2,FALSE)</f>
        <v>7</v>
      </c>
      <c r="E86">
        <f>VLOOKUP(C86,[4]Sheet1!$A:$B,2,FALSE)</f>
        <v>23</v>
      </c>
      <c r="F86">
        <f>VLOOKUP(B86,[5]Sheet1!$A:$C,2,FALSE)</f>
        <v>4</v>
      </c>
      <c r="G86">
        <f>VLOOKUP(B86,[5]Sheet1!$A:$C,3,FALSE)</f>
        <v>5</v>
      </c>
      <c r="H86">
        <f>VLOOKUP(C86,[5]Sheet1!$A:$C,2,FALSE)</f>
        <v>0</v>
      </c>
      <c r="I86">
        <f>VLOOKUP(C86,[5]Sheet1!$A:$C,3,FALSE)</f>
        <v>0</v>
      </c>
      <c r="M86">
        <v>1</v>
      </c>
      <c r="N86" s="2">
        <f>VLOOKUP(B86,[6]Sheet1!$A:$B,2,FALSE)</f>
        <v>8</v>
      </c>
      <c r="O86">
        <f>VLOOKUP(C86,[6]Sheet1!$A:$B,2,FALSE)</f>
        <v>25</v>
      </c>
    </row>
    <row r="87" spans="1:15" ht="22.2" customHeight="1">
      <c r="A87" t="s">
        <v>134</v>
      </c>
      <c r="B87" t="s">
        <v>43</v>
      </c>
      <c r="C87" t="s">
        <v>74</v>
      </c>
      <c r="D87">
        <f>VLOOKUP(B87,[4]Sheet1!$A:$B,2,FALSE)</f>
        <v>7</v>
      </c>
      <c r="E87">
        <f>VLOOKUP(C87,[4]Sheet1!$A:$B,2,FALSE)</f>
        <v>4</v>
      </c>
      <c r="F87">
        <f>VLOOKUP(B87,[5]Sheet1!$A:$C,2,FALSE)</f>
        <v>4</v>
      </c>
      <c r="G87">
        <f>VLOOKUP(B87,[5]Sheet1!$A:$C,3,FALSE)</f>
        <v>5</v>
      </c>
      <c r="H87">
        <f>VLOOKUP(C87,[5]Sheet1!$A:$C,2,FALSE)</f>
        <v>2</v>
      </c>
      <c r="I87">
        <f>VLOOKUP(C87,[5]Sheet1!$A:$C,3,FALSE)</f>
        <v>2</v>
      </c>
      <c r="M87">
        <v>1</v>
      </c>
      <c r="N87" s="2">
        <f>VLOOKUP(B87,[6]Sheet1!$A:$B,2,FALSE)</f>
        <v>8</v>
      </c>
      <c r="O87">
        <f>VLOOKUP(C87,[6]Sheet1!$A:$B,2,FALSE)</f>
        <v>12</v>
      </c>
    </row>
    <row r="88" spans="1:15" ht="22.2" customHeight="1">
      <c r="A88" t="s">
        <v>135</v>
      </c>
      <c r="B88" t="s">
        <v>129</v>
      </c>
      <c r="C88" t="s">
        <v>131</v>
      </c>
      <c r="D88">
        <f>VLOOKUP(B88,[4]Sheet1!$A:$B,2,FALSE)</f>
        <v>23</v>
      </c>
      <c r="E88">
        <f>VLOOKUP(C88,[4]Sheet1!$A:$B,2,FALSE)</f>
        <v>57</v>
      </c>
      <c r="F88">
        <f>VLOOKUP(B88,[5]Sheet1!$A:$C,2,FALSE)</f>
        <v>0</v>
      </c>
      <c r="G88">
        <f>VLOOKUP(B88,[5]Sheet1!$A:$C,3,FALSE)</f>
        <v>0</v>
      </c>
      <c r="H88">
        <f>VLOOKUP(C88,[5]Sheet1!$A:$C,2,FALSE)</f>
        <v>0</v>
      </c>
      <c r="I88">
        <f>VLOOKUP(C88,[5]Sheet1!$A:$C,3,FALSE)</f>
        <v>0</v>
      </c>
      <c r="M88">
        <v>0</v>
      </c>
      <c r="N88" s="2">
        <f>VLOOKUP(B88,[6]Sheet1!$A:$B,2,FALSE)</f>
        <v>25</v>
      </c>
      <c r="O88">
        <f>VLOOKUP(C88,[6]Sheet1!$A:$B,2,FALSE)</f>
        <v>30</v>
      </c>
    </row>
    <row r="89" spans="1:15" ht="22.2" customHeight="1">
      <c r="A89" t="s">
        <v>136</v>
      </c>
      <c r="B89" t="s">
        <v>42</v>
      </c>
      <c r="C89" t="s">
        <v>137</v>
      </c>
      <c r="D89">
        <f>VLOOKUP(B89,[4]Sheet1!$A:$B,2,FALSE)</f>
        <v>5</v>
      </c>
      <c r="E89">
        <f>VLOOKUP(C89,[4]Sheet1!$A:$B,2,FALSE)</f>
        <v>2</v>
      </c>
      <c r="F89">
        <f>VLOOKUP(B89,[5]Sheet1!$A:$C,2,FALSE)</f>
        <v>1</v>
      </c>
      <c r="G89">
        <f>VLOOKUP(B89,[5]Sheet1!$A:$C,3,FALSE)</f>
        <v>1</v>
      </c>
      <c r="H89">
        <f>VLOOKUP(C89,[5]Sheet1!$A:$C,2,FALSE)</f>
        <v>3</v>
      </c>
      <c r="I89">
        <f>VLOOKUP(C89,[5]Sheet1!$A:$C,3,FALSE)</f>
        <v>4</v>
      </c>
      <c r="M89">
        <v>-1</v>
      </c>
      <c r="N89" s="2">
        <f>VLOOKUP(B89,[6]Sheet1!$A:$B,2,FALSE)</f>
        <v>18</v>
      </c>
      <c r="O89">
        <f>VLOOKUP(C89,[6]Sheet1!$A:$B,2,FALSE)</f>
        <v>7</v>
      </c>
    </row>
    <row r="90" spans="1:15" ht="22.2" customHeight="1">
      <c r="A90" t="s">
        <v>138</v>
      </c>
      <c r="B90" t="s">
        <v>76</v>
      </c>
      <c r="C90" t="s">
        <v>139</v>
      </c>
      <c r="D90">
        <f>VLOOKUP(B90,[4]Sheet1!$A:$B,2,FALSE)</f>
        <v>13</v>
      </c>
      <c r="E90">
        <f>VLOOKUP(C90,[4]Sheet1!$A:$B,2,FALSE)</f>
        <v>48</v>
      </c>
      <c r="F90">
        <f>VLOOKUP(B90,[5]Sheet1!$A:$C,2,FALSE)</f>
        <v>5</v>
      </c>
      <c r="G90">
        <f>VLOOKUP(B90,[5]Sheet1!$A:$C,3,FALSE)</f>
        <v>6</v>
      </c>
      <c r="H90">
        <f>VLOOKUP(C90,[5]Sheet1!$A:$C,2,FALSE)</f>
        <v>2</v>
      </c>
      <c r="I90">
        <f>VLOOKUP(C90,[5]Sheet1!$A:$C,3,FALSE)</f>
        <v>2</v>
      </c>
      <c r="M90">
        <v>1</v>
      </c>
      <c r="N90" s="2">
        <f>VLOOKUP(B90,[6]Sheet1!$A:$B,2,FALSE)</f>
        <v>1</v>
      </c>
      <c r="O90">
        <f>VLOOKUP(C90,[6]Sheet1!$A:$B,2,FALSE)</f>
        <v>19</v>
      </c>
    </row>
    <row r="91" spans="1:15" ht="22.2" customHeight="1">
      <c r="A91" t="s">
        <v>140</v>
      </c>
      <c r="B91" t="s">
        <v>137</v>
      </c>
      <c r="C91" t="s">
        <v>139</v>
      </c>
      <c r="D91">
        <f>VLOOKUP(B91,[4]Sheet1!$A:$B,2,FALSE)</f>
        <v>2</v>
      </c>
      <c r="E91">
        <f>VLOOKUP(C91,[4]Sheet1!$A:$B,2,FALSE)</f>
        <v>48</v>
      </c>
      <c r="F91">
        <f>VLOOKUP(B91,[5]Sheet1!$A:$C,2,FALSE)</f>
        <v>3</v>
      </c>
      <c r="G91">
        <f>VLOOKUP(B91,[5]Sheet1!$A:$C,3,FALSE)</f>
        <v>4</v>
      </c>
      <c r="H91">
        <f>VLOOKUP(C91,[5]Sheet1!$A:$C,2,FALSE)</f>
        <v>2</v>
      </c>
      <c r="I91">
        <f>VLOOKUP(C91,[5]Sheet1!$A:$C,3,FALSE)</f>
        <v>2</v>
      </c>
      <c r="M91">
        <v>-1</v>
      </c>
      <c r="N91" s="2">
        <f>VLOOKUP(B91,[6]Sheet1!$A:$B,2,FALSE)</f>
        <v>7</v>
      </c>
      <c r="O91">
        <f>VLOOKUP(C91,[6]Sheet1!$A:$B,2,FALSE)</f>
        <v>19</v>
      </c>
    </row>
    <row r="92" spans="1:15" ht="22.2" customHeight="1">
      <c r="A92" t="s">
        <v>141</v>
      </c>
      <c r="B92" t="s">
        <v>76</v>
      </c>
      <c r="C92" t="s">
        <v>45</v>
      </c>
      <c r="D92">
        <f>VLOOKUP(B92,[4]Sheet1!$A:$B,2,FALSE)</f>
        <v>13</v>
      </c>
      <c r="E92">
        <f>VLOOKUP(C92,[4]Sheet1!$A:$B,2,FALSE)</f>
        <v>5</v>
      </c>
      <c r="F92">
        <f>VLOOKUP(B92,[5]Sheet1!$A:$C,2,FALSE)</f>
        <v>5</v>
      </c>
      <c r="G92">
        <f>VLOOKUP(B92,[5]Sheet1!$A:$C,3,FALSE)</f>
        <v>6</v>
      </c>
      <c r="H92">
        <f>VLOOKUP(C92,[5]Sheet1!$A:$C,2,FALSE)</f>
        <v>1</v>
      </c>
      <c r="I92">
        <f>VLOOKUP(C92,[5]Sheet1!$A:$C,3,FALSE)</f>
        <v>1</v>
      </c>
      <c r="M92">
        <v>0</v>
      </c>
      <c r="N92" s="2">
        <f>VLOOKUP(B92,[6]Sheet1!$A:$B,2,FALSE)</f>
        <v>1</v>
      </c>
      <c r="O92">
        <f>VLOOKUP(C92,[6]Sheet1!$A:$B,2,FALSE)</f>
        <v>18</v>
      </c>
    </row>
    <row r="93" spans="1:15" ht="22.2" customHeight="1">
      <c r="A93" t="s">
        <v>142</v>
      </c>
      <c r="B93" t="s">
        <v>137</v>
      </c>
      <c r="C93" t="s">
        <v>76</v>
      </c>
      <c r="D93">
        <f>VLOOKUP(B93,[4]Sheet1!$A:$B,2,FALSE)</f>
        <v>2</v>
      </c>
      <c r="E93">
        <f>VLOOKUP(C93,[4]Sheet1!$A:$B,2,FALSE)</f>
        <v>13</v>
      </c>
      <c r="F93">
        <f>VLOOKUP(B93,[5]Sheet1!$A:$C,2,FALSE)</f>
        <v>3</v>
      </c>
      <c r="G93">
        <f>VLOOKUP(B93,[5]Sheet1!$A:$C,3,FALSE)</f>
        <v>4</v>
      </c>
      <c r="H93">
        <f>VLOOKUP(C93,[5]Sheet1!$A:$C,2,FALSE)</f>
        <v>5</v>
      </c>
      <c r="I93">
        <f>VLOOKUP(C93,[5]Sheet1!$A:$C,3,FALSE)</f>
        <v>6</v>
      </c>
      <c r="M93">
        <v>-1</v>
      </c>
      <c r="N93" s="2">
        <f>VLOOKUP(B93,[6]Sheet1!$A:$B,2,FALSE)</f>
        <v>7</v>
      </c>
      <c r="O93">
        <f>VLOOKUP(C93,[6]Sheet1!$A:$B,2,FALSE)</f>
        <v>1</v>
      </c>
    </row>
    <row r="94" spans="1:15" ht="22.2" customHeight="1">
      <c r="A94" t="s">
        <v>143</v>
      </c>
      <c r="B94" t="s">
        <v>139</v>
      </c>
      <c r="C94" t="s">
        <v>45</v>
      </c>
      <c r="D94">
        <f>VLOOKUP(B94,[4]Sheet1!$A:$B,2,FALSE)</f>
        <v>48</v>
      </c>
      <c r="E94">
        <f>VLOOKUP(C94,[4]Sheet1!$A:$B,2,FALSE)</f>
        <v>5</v>
      </c>
      <c r="F94">
        <f>VLOOKUP(B94,[5]Sheet1!$A:$C,2,FALSE)</f>
        <v>2</v>
      </c>
      <c r="G94">
        <f>VLOOKUP(B94,[5]Sheet1!$A:$C,3,FALSE)</f>
        <v>2</v>
      </c>
      <c r="H94">
        <f>VLOOKUP(C94,[5]Sheet1!$A:$C,2,FALSE)</f>
        <v>1</v>
      </c>
      <c r="I94">
        <f>VLOOKUP(C94,[5]Sheet1!$A:$C,3,FALSE)</f>
        <v>1</v>
      </c>
      <c r="M94">
        <v>1</v>
      </c>
      <c r="N94" s="2">
        <f>VLOOKUP(B94,[6]Sheet1!$A:$B,2,FALSE)</f>
        <v>19</v>
      </c>
      <c r="O94">
        <f>VLOOKUP(C94,[6]Sheet1!$A:$B,2,FALSE)</f>
        <v>18</v>
      </c>
    </row>
    <row r="95" spans="1:15" ht="22.2" customHeight="1">
      <c r="A95" t="s">
        <v>144</v>
      </c>
      <c r="B95" t="s">
        <v>145</v>
      </c>
      <c r="C95" t="s">
        <v>83</v>
      </c>
      <c r="D95">
        <f>VLOOKUP(B95,[4]Sheet1!$A:$B,2,FALSE)</f>
        <v>42</v>
      </c>
      <c r="E95">
        <f>VLOOKUP(C95,[4]Sheet1!$A:$B,2,FALSE)</f>
        <v>18</v>
      </c>
      <c r="F95">
        <f>VLOOKUP(B95,[5]Sheet1!$A:$C,2,FALSE)</f>
        <v>1</v>
      </c>
      <c r="G95">
        <f>VLOOKUP(B95,[5]Sheet1!$A:$C,3,FALSE)</f>
        <v>1</v>
      </c>
      <c r="H95">
        <f>VLOOKUP(C95,[5]Sheet1!$A:$C,2,FALSE)</f>
        <v>1</v>
      </c>
      <c r="I95">
        <f>VLOOKUP(C95,[5]Sheet1!$A:$C,3,FALSE)</f>
        <v>1</v>
      </c>
      <c r="M95">
        <v>1</v>
      </c>
      <c r="N95" s="2">
        <f>VLOOKUP(B95,[6]Sheet1!$A:$B,2,FALSE)</f>
        <v>17</v>
      </c>
      <c r="O95">
        <f>VLOOKUP(C95,[6]Sheet1!$A:$B,2,FALSE)</f>
        <v>21</v>
      </c>
    </row>
    <row r="96" spans="1:15" ht="22.2" customHeight="1">
      <c r="A96" t="s">
        <v>146</v>
      </c>
      <c r="B96" t="s">
        <v>29</v>
      </c>
      <c r="C96" t="s">
        <v>73</v>
      </c>
      <c r="D96">
        <f>VLOOKUP(B96,[4]Sheet1!$A:$B,2,FALSE)</f>
        <v>1</v>
      </c>
      <c r="E96">
        <f>VLOOKUP(C96,[4]Sheet1!$A:$B,2,FALSE)</f>
        <v>23</v>
      </c>
      <c r="F96">
        <f>VLOOKUP(B96,[5]Sheet1!$A:$C,2,FALSE)</f>
        <v>6</v>
      </c>
      <c r="G96">
        <f>VLOOKUP(B96,[5]Sheet1!$A:$C,3,FALSE)</f>
        <v>8</v>
      </c>
      <c r="H96">
        <f>VLOOKUP(C96,[5]Sheet1!$A:$C,2,FALSE)</f>
        <v>2</v>
      </c>
      <c r="I96">
        <f>VLOOKUP(C96,[5]Sheet1!$A:$C,3,FALSE)</f>
        <v>2</v>
      </c>
      <c r="M96">
        <v>1</v>
      </c>
      <c r="N96" s="2">
        <f>VLOOKUP(B96,[6]Sheet1!$A:$B,2,FALSE)</f>
        <v>6</v>
      </c>
      <c r="O96">
        <f>VLOOKUP(C96,[6]Sheet1!$A:$B,2,FALSE)</f>
        <v>14</v>
      </c>
    </row>
    <row r="97" spans="1:15" ht="22.2" customHeight="1">
      <c r="A97" t="s">
        <v>147</v>
      </c>
      <c r="B97" t="s">
        <v>83</v>
      </c>
      <c r="C97" t="s">
        <v>73</v>
      </c>
      <c r="D97">
        <f>VLOOKUP(B97,[4]Sheet1!$A:$B,2,FALSE)</f>
        <v>18</v>
      </c>
      <c r="E97">
        <f>VLOOKUP(C97,[4]Sheet1!$A:$B,2,FALSE)</f>
        <v>23</v>
      </c>
      <c r="F97">
        <f>VLOOKUP(B97,[5]Sheet1!$A:$C,2,FALSE)</f>
        <v>1</v>
      </c>
      <c r="G97">
        <f>VLOOKUP(B97,[5]Sheet1!$A:$C,3,FALSE)</f>
        <v>1</v>
      </c>
      <c r="H97">
        <f>VLOOKUP(C97,[5]Sheet1!$A:$C,2,FALSE)</f>
        <v>2</v>
      </c>
      <c r="I97">
        <f>VLOOKUP(C97,[5]Sheet1!$A:$C,3,FALSE)</f>
        <v>2</v>
      </c>
      <c r="M97">
        <v>0</v>
      </c>
      <c r="N97" s="2">
        <f>VLOOKUP(B97,[6]Sheet1!$A:$B,2,FALSE)</f>
        <v>21</v>
      </c>
      <c r="O97">
        <f>VLOOKUP(C97,[6]Sheet1!$A:$B,2,FALSE)</f>
        <v>14</v>
      </c>
    </row>
    <row r="98" spans="1:15" ht="22.2" customHeight="1">
      <c r="A98" t="s">
        <v>148</v>
      </c>
      <c r="B98" t="s">
        <v>29</v>
      </c>
      <c r="C98" t="s">
        <v>145</v>
      </c>
      <c r="D98">
        <f>VLOOKUP(B98,[4]Sheet1!$A:$B,2,FALSE)</f>
        <v>1</v>
      </c>
      <c r="E98">
        <f>VLOOKUP(C98,[4]Sheet1!$A:$B,2,FALSE)</f>
        <v>42</v>
      </c>
      <c r="F98">
        <f>VLOOKUP(B98,[5]Sheet1!$A:$C,2,FALSE)</f>
        <v>6</v>
      </c>
      <c r="G98">
        <f>VLOOKUP(B98,[5]Sheet1!$A:$C,3,FALSE)</f>
        <v>8</v>
      </c>
      <c r="H98">
        <f>VLOOKUP(C98,[5]Sheet1!$A:$C,2,FALSE)</f>
        <v>1</v>
      </c>
      <c r="I98">
        <f>VLOOKUP(C98,[5]Sheet1!$A:$C,3,FALSE)</f>
        <v>1</v>
      </c>
      <c r="M98">
        <v>1</v>
      </c>
      <c r="N98" s="2">
        <f>VLOOKUP(B98,[6]Sheet1!$A:$B,2,FALSE)</f>
        <v>6</v>
      </c>
      <c r="O98">
        <f>VLOOKUP(C98,[6]Sheet1!$A:$B,2,FALSE)</f>
        <v>17</v>
      </c>
    </row>
    <row r="99" spans="1:15" ht="22.2" customHeight="1">
      <c r="A99" t="s">
        <v>149</v>
      </c>
      <c r="B99" t="s">
        <v>83</v>
      </c>
      <c r="C99" t="s">
        <v>29</v>
      </c>
      <c r="D99">
        <f>VLOOKUP(B99,[4]Sheet1!$A:$B,2,FALSE)</f>
        <v>18</v>
      </c>
      <c r="E99">
        <f>VLOOKUP(C99,[4]Sheet1!$A:$B,2,FALSE)</f>
        <v>1</v>
      </c>
      <c r="F99">
        <f>VLOOKUP(B99,[5]Sheet1!$A:$C,2,FALSE)</f>
        <v>1</v>
      </c>
      <c r="G99">
        <f>VLOOKUP(B99,[5]Sheet1!$A:$C,3,FALSE)</f>
        <v>1</v>
      </c>
      <c r="H99">
        <f>VLOOKUP(C99,[5]Sheet1!$A:$C,2,FALSE)</f>
        <v>6</v>
      </c>
      <c r="I99">
        <f>VLOOKUP(C99,[5]Sheet1!$A:$C,3,FALSE)</f>
        <v>8</v>
      </c>
      <c r="M99">
        <v>-1</v>
      </c>
      <c r="N99" s="2">
        <f>VLOOKUP(B99,[6]Sheet1!$A:$B,2,FALSE)</f>
        <v>21</v>
      </c>
      <c r="O99">
        <f>VLOOKUP(C99,[6]Sheet1!$A:$B,2,FALSE)</f>
        <v>6</v>
      </c>
    </row>
    <row r="100" spans="1:15" ht="22.2" customHeight="1">
      <c r="A100" t="s">
        <v>150</v>
      </c>
      <c r="B100" t="s">
        <v>73</v>
      </c>
      <c r="C100" t="s">
        <v>145</v>
      </c>
      <c r="D100">
        <f>VLOOKUP(B100,[4]Sheet1!$A:$B,2,FALSE)</f>
        <v>23</v>
      </c>
      <c r="E100">
        <f>VLOOKUP(C100,[4]Sheet1!$A:$B,2,FALSE)</f>
        <v>42</v>
      </c>
      <c r="F100">
        <f>VLOOKUP(B100,[5]Sheet1!$A:$C,2,FALSE)</f>
        <v>2</v>
      </c>
      <c r="G100">
        <f>VLOOKUP(B100,[5]Sheet1!$A:$C,3,FALSE)</f>
        <v>2</v>
      </c>
      <c r="H100">
        <f>VLOOKUP(C100,[5]Sheet1!$A:$C,2,FALSE)</f>
        <v>1</v>
      </c>
      <c r="I100">
        <f>VLOOKUP(C100,[5]Sheet1!$A:$C,3,FALSE)</f>
        <v>1</v>
      </c>
      <c r="M100">
        <v>0</v>
      </c>
      <c r="N100" s="2">
        <f>VLOOKUP(B100,[6]Sheet1!$A:$B,2,FALSE)</f>
        <v>14</v>
      </c>
      <c r="O100">
        <f>VLOOKUP(C100,[6]Sheet1!$A:$B,2,FALSE)</f>
        <v>17</v>
      </c>
    </row>
    <row r="101" spans="1:15" ht="22.2" customHeight="1">
      <c r="A101" t="s">
        <v>151</v>
      </c>
      <c r="B101" t="s">
        <v>39</v>
      </c>
      <c r="C101" t="s">
        <v>152</v>
      </c>
      <c r="D101">
        <f>VLOOKUP(B101,[4]Sheet1!$A:$B,2,FALSE)</f>
        <v>29</v>
      </c>
      <c r="E101">
        <f>VLOOKUP(C101,[4]Sheet1!$A:$B,2,FALSE)</f>
        <v>61</v>
      </c>
      <c r="F101">
        <f>VLOOKUP(B101,[5]Sheet1!$A:$C,2,FALSE)</f>
        <v>1</v>
      </c>
      <c r="G101">
        <f>VLOOKUP(B101,[5]Sheet1!$A:$C,3,FALSE)</f>
        <v>1</v>
      </c>
      <c r="H101">
        <f>VLOOKUP(C101,[5]Sheet1!$A:$C,2,FALSE)</f>
        <v>1</v>
      </c>
      <c r="I101">
        <f>VLOOKUP(C101,[5]Sheet1!$A:$C,3,FALSE)</f>
        <v>1</v>
      </c>
      <c r="M101">
        <v>1</v>
      </c>
      <c r="N101" s="2">
        <f>VLOOKUP(B101,[6]Sheet1!$A:$B,2,FALSE)</f>
        <v>20</v>
      </c>
      <c r="O101">
        <f>VLOOKUP(C101,[6]Sheet1!$A:$B,2,FALSE)</f>
        <v>27</v>
      </c>
    </row>
    <row r="102" spans="1:15" ht="22.2" customHeight="1">
      <c r="A102" t="s">
        <v>153</v>
      </c>
      <c r="B102" t="s">
        <v>9</v>
      </c>
      <c r="C102" t="s">
        <v>154</v>
      </c>
      <c r="D102">
        <f>VLOOKUP(B102,[4]Sheet1!$A:$B,2,FALSE)</f>
        <v>8</v>
      </c>
      <c r="E102">
        <f>VLOOKUP(C102,[4]Sheet1!$A:$B,2,FALSE)</f>
        <v>35</v>
      </c>
      <c r="F102">
        <f>VLOOKUP(B102,[5]Sheet1!$A:$C,2,FALSE)</f>
        <v>5</v>
      </c>
      <c r="G102">
        <f>VLOOKUP(B102,[5]Sheet1!$A:$C,3,FALSE)</f>
        <v>6</v>
      </c>
      <c r="H102">
        <f>VLOOKUP(C102,[5]Sheet1!$A:$C,2,FALSE)</f>
        <v>1</v>
      </c>
      <c r="I102">
        <f>VLOOKUP(C102,[5]Sheet1!$A:$C,3,FALSE)</f>
        <v>1</v>
      </c>
      <c r="M102">
        <v>0</v>
      </c>
      <c r="N102" s="2">
        <f>VLOOKUP(B102,[6]Sheet1!$A:$B,2,FALSE)</f>
        <v>3</v>
      </c>
      <c r="O102">
        <f>VLOOKUP(C102,[6]Sheet1!$A:$B,2,FALSE)</f>
        <v>13</v>
      </c>
    </row>
    <row r="103" spans="1:15" ht="22.2" customHeight="1">
      <c r="A103" t="s">
        <v>155</v>
      </c>
      <c r="B103" t="s">
        <v>9</v>
      </c>
      <c r="C103" t="s">
        <v>39</v>
      </c>
      <c r="D103">
        <f>VLOOKUP(B103,[4]Sheet1!$A:$B,2,FALSE)</f>
        <v>8</v>
      </c>
      <c r="E103">
        <f>VLOOKUP(C103,[4]Sheet1!$A:$B,2,FALSE)</f>
        <v>29</v>
      </c>
      <c r="F103">
        <f>VLOOKUP(B103,[5]Sheet1!$A:$C,2,FALSE)</f>
        <v>5</v>
      </c>
      <c r="G103">
        <f>VLOOKUP(B103,[5]Sheet1!$A:$C,3,FALSE)</f>
        <v>6</v>
      </c>
      <c r="H103">
        <f>VLOOKUP(C103,[5]Sheet1!$A:$C,2,FALSE)</f>
        <v>1</v>
      </c>
      <c r="I103">
        <f>VLOOKUP(C103,[5]Sheet1!$A:$C,3,FALSE)</f>
        <v>1</v>
      </c>
      <c r="M103">
        <v>0</v>
      </c>
      <c r="N103" s="2">
        <f>VLOOKUP(B103,[6]Sheet1!$A:$B,2,FALSE)</f>
        <v>3</v>
      </c>
      <c r="O103">
        <f>VLOOKUP(C103,[6]Sheet1!$A:$B,2,FALSE)</f>
        <v>20</v>
      </c>
    </row>
    <row r="104" spans="1:15" ht="22.2" customHeight="1">
      <c r="A104" t="s">
        <v>156</v>
      </c>
      <c r="B104" t="s">
        <v>152</v>
      </c>
      <c r="C104" t="s">
        <v>154</v>
      </c>
      <c r="D104">
        <f>VLOOKUP(B104,[4]Sheet1!$A:$B,2,FALSE)</f>
        <v>61</v>
      </c>
      <c r="E104">
        <f>VLOOKUP(C104,[4]Sheet1!$A:$B,2,FALSE)</f>
        <v>35</v>
      </c>
      <c r="F104">
        <f>VLOOKUP(B104,[5]Sheet1!$A:$C,2,FALSE)</f>
        <v>1</v>
      </c>
      <c r="G104">
        <f>VLOOKUP(B104,[5]Sheet1!$A:$C,3,FALSE)</f>
        <v>1</v>
      </c>
      <c r="H104">
        <f>VLOOKUP(C104,[5]Sheet1!$A:$C,2,FALSE)</f>
        <v>1</v>
      </c>
      <c r="I104">
        <f>VLOOKUP(C104,[5]Sheet1!$A:$C,3,FALSE)</f>
        <v>1</v>
      </c>
      <c r="M104">
        <v>-1</v>
      </c>
      <c r="N104" s="2">
        <f>VLOOKUP(B104,[6]Sheet1!$A:$B,2,FALSE)</f>
        <v>27</v>
      </c>
      <c r="O104">
        <f>VLOOKUP(C104,[6]Sheet1!$A:$B,2,FALSE)</f>
        <v>13</v>
      </c>
    </row>
    <row r="105" spans="1:15" ht="22.2" customHeight="1">
      <c r="A105" t="s">
        <v>157</v>
      </c>
      <c r="B105" t="s">
        <v>152</v>
      </c>
      <c r="C105" t="s">
        <v>9</v>
      </c>
      <c r="D105">
        <f>VLOOKUP(B105,[4]Sheet1!$A:$B,2,FALSE)</f>
        <v>61</v>
      </c>
      <c r="E105">
        <f>VLOOKUP(C105,[4]Sheet1!$A:$B,2,FALSE)</f>
        <v>8</v>
      </c>
      <c r="F105">
        <f>VLOOKUP(B105,[5]Sheet1!$A:$C,2,FALSE)</f>
        <v>1</v>
      </c>
      <c r="G105">
        <f>VLOOKUP(B105,[5]Sheet1!$A:$C,3,FALSE)</f>
        <v>1</v>
      </c>
      <c r="H105">
        <f>VLOOKUP(C105,[5]Sheet1!$A:$C,2,FALSE)</f>
        <v>5</v>
      </c>
      <c r="I105">
        <f>VLOOKUP(C105,[5]Sheet1!$A:$C,3,FALSE)</f>
        <v>6</v>
      </c>
      <c r="M105">
        <v>-1</v>
      </c>
      <c r="N105" s="2">
        <f>VLOOKUP(B105,[6]Sheet1!$A:$B,2,FALSE)</f>
        <v>27</v>
      </c>
      <c r="O105">
        <f>VLOOKUP(C105,[6]Sheet1!$A:$B,2,FALSE)</f>
        <v>3</v>
      </c>
    </row>
    <row r="106" spans="1:15" ht="22.2" customHeight="1">
      <c r="A106" t="s">
        <v>158</v>
      </c>
      <c r="B106" t="s">
        <v>154</v>
      </c>
      <c r="C106" t="s">
        <v>39</v>
      </c>
      <c r="D106">
        <f>VLOOKUP(B106,[4]Sheet1!$A:$B,2,FALSE)</f>
        <v>35</v>
      </c>
      <c r="E106">
        <f>VLOOKUP(C106,[4]Sheet1!$A:$B,2,FALSE)</f>
        <v>29</v>
      </c>
      <c r="F106">
        <f>VLOOKUP(B106,[5]Sheet1!$A:$C,2,FALSE)</f>
        <v>1</v>
      </c>
      <c r="G106">
        <f>VLOOKUP(B106,[5]Sheet1!$A:$C,3,FALSE)</f>
        <v>1</v>
      </c>
      <c r="H106">
        <f>VLOOKUP(C106,[5]Sheet1!$A:$C,2,FALSE)</f>
        <v>1</v>
      </c>
      <c r="I106">
        <f>VLOOKUP(C106,[5]Sheet1!$A:$C,3,FALSE)</f>
        <v>1</v>
      </c>
      <c r="M106">
        <v>1</v>
      </c>
      <c r="N106" s="2">
        <f>VLOOKUP(B106,[6]Sheet1!$A:$B,2,FALSE)</f>
        <v>13</v>
      </c>
      <c r="O106">
        <f>VLOOKUP(C106,[6]Sheet1!$A:$B,2,FALSE)</f>
        <v>20</v>
      </c>
    </row>
    <row r="107" spans="1:15" ht="22.2" customHeight="1">
      <c r="A107" t="s">
        <v>159</v>
      </c>
      <c r="B107" t="s">
        <v>22</v>
      </c>
      <c r="C107" t="s">
        <v>160</v>
      </c>
      <c r="D107">
        <f>VLOOKUP(B107,[4]Sheet1!$A:$B,2,FALSE)</f>
        <v>5</v>
      </c>
      <c r="E107">
        <f>VLOOKUP(C107,[4]Sheet1!$A:$B,2,FALSE)</f>
        <v>45</v>
      </c>
      <c r="F107">
        <f>VLOOKUP(B107,[5]Sheet1!$A:$C,2,FALSE)</f>
        <v>4</v>
      </c>
      <c r="G107">
        <f>VLOOKUP(B107,[5]Sheet1!$A:$C,3,FALSE)</f>
        <v>5</v>
      </c>
      <c r="H107">
        <f>VLOOKUP(C107,[5]Sheet1!$A:$C,2,FALSE)</f>
        <v>2</v>
      </c>
      <c r="I107">
        <f>VLOOKUP(C107,[5]Sheet1!$A:$C,3,FALSE)</f>
        <v>2</v>
      </c>
      <c r="M107">
        <v>1</v>
      </c>
      <c r="N107" s="2">
        <f>VLOOKUP(B107,[6]Sheet1!$A:$B,2,FALSE)</f>
        <v>4</v>
      </c>
      <c r="O107">
        <f>VLOOKUP(C107,[6]Sheet1!$A:$B,2,FALSE)</f>
        <v>15</v>
      </c>
    </row>
    <row r="108" spans="1:15" ht="22.2" customHeight="1">
      <c r="A108" t="s">
        <v>161</v>
      </c>
      <c r="B108" t="s">
        <v>87</v>
      </c>
      <c r="C108" t="s">
        <v>57</v>
      </c>
      <c r="D108">
        <f>VLOOKUP(B108,[4]Sheet1!$A:$B,2,FALSE)</f>
        <v>21</v>
      </c>
      <c r="E108">
        <f>VLOOKUP(C108,[4]Sheet1!$A:$B,2,FALSE)</f>
        <v>34</v>
      </c>
      <c r="F108">
        <f>VLOOKUP(B108,[5]Sheet1!$A:$C,2,FALSE)</f>
        <v>0</v>
      </c>
      <c r="G108">
        <f>VLOOKUP(B108,[5]Sheet1!$A:$C,3,FALSE)</f>
        <v>0</v>
      </c>
      <c r="H108">
        <f>VLOOKUP(C108,[5]Sheet1!$A:$C,2,FALSE)</f>
        <v>0</v>
      </c>
      <c r="I108">
        <f>VLOOKUP(C108,[5]Sheet1!$A:$C,3,FALSE)</f>
        <v>0</v>
      </c>
      <c r="M108">
        <v>0</v>
      </c>
      <c r="N108" s="2">
        <f>VLOOKUP(B108,[6]Sheet1!$A:$B,2,FALSE)</f>
        <v>26</v>
      </c>
      <c r="O108">
        <f>VLOOKUP(C108,[6]Sheet1!$A:$B,2,FALSE)</f>
        <v>31</v>
      </c>
    </row>
    <row r="109" spans="1:15" ht="22.2" customHeight="1">
      <c r="A109" t="s">
        <v>162</v>
      </c>
      <c r="B109" t="s">
        <v>57</v>
      </c>
      <c r="C109" t="s">
        <v>160</v>
      </c>
      <c r="D109">
        <f>VLOOKUP(B109,[4]Sheet1!$A:$B,2,FALSE)</f>
        <v>34</v>
      </c>
      <c r="E109">
        <f>VLOOKUP(C109,[4]Sheet1!$A:$B,2,FALSE)</f>
        <v>45</v>
      </c>
      <c r="F109">
        <f>VLOOKUP(B109,[5]Sheet1!$A:$C,2,FALSE)</f>
        <v>0</v>
      </c>
      <c r="G109">
        <f>VLOOKUP(B109,[5]Sheet1!$A:$C,3,FALSE)</f>
        <v>0</v>
      </c>
      <c r="H109">
        <f>VLOOKUP(C109,[5]Sheet1!$A:$C,2,FALSE)</f>
        <v>2</v>
      </c>
      <c r="I109">
        <f>VLOOKUP(C109,[5]Sheet1!$A:$C,3,FALSE)</f>
        <v>2</v>
      </c>
      <c r="M109">
        <v>-1</v>
      </c>
      <c r="N109" s="2">
        <f>VLOOKUP(B109,[6]Sheet1!$A:$B,2,FALSE)</f>
        <v>31</v>
      </c>
      <c r="O109">
        <f>VLOOKUP(C109,[6]Sheet1!$A:$B,2,FALSE)</f>
        <v>15</v>
      </c>
    </row>
    <row r="110" spans="1:15" ht="22.2" customHeight="1">
      <c r="A110" t="s">
        <v>163</v>
      </c>
      <c r="B110" t="s">
        <v>22</v>
      </c>
      <c r="C110" t="s">
        <v>87</v>
      </c>
      <c r="D110">
        <f>VLOOKUP(B110,[4]Sheet1!$A:$B,2,FALSE)</f>
        <v>5</v>
      </c>
      <c r="E110">
        <f>VLOOKUP(C110,[4]Sheet1!$A:$B,2,FALSE)</f>
        <v>21</v>
      </c>
      <c r="F110">
        <f>VLOOKUP(B110,[5]Sheet1!$A:$C,2,FALSE)</f>
        <v>4</v>
      </c>
      <c r="G110">
        <f>VLOOKUP(B110,[5]Sheet1!$A:$C,3,FALSE)</f>
        <v>5</v>
      </c>
      <c r="H110">
        <f>VLOOKUP(C110,[5]Sheet1!$A:$C,2,FALSE)</f>
        <v>0</v>
      </c>
      <c r="I110">
        <f>VLOOKUP(C110,[5]Sheet1!$A:$C,3,FALSE)</f>
        <v>0</v>
      </c>
      <c r="M110">
        <v>1</v>
      </c>
      <c r="N110" s="2">
        <f>VLOOKUP(B110,[6]Sheet1!$A:$B,2,FALSE)</f>
        <v>4</v>
      </c>
      <c r="O110">
        <f>VLOOKUP(C110,[6]Sheet1!$A:$B,2,FALSE)</f>
        <v>26</v>
      </c>
    </row>
    <row r="111" spans="1:15" ht="22.2" customHeight="1">
      <c r="A111" t="s">
        <v>164</v>
      </c>
      <c r="B111" t="s">
        <v>57</v>
      </c>
      <c r="C111" t="s">
        <v>22</v>
      </c>
      <c r="D111">
        <f>VLOOKUP(B111,[4]Sheet1!$A:$B,2,FALSE)</f>
        <v>34</v>
      </c>
      <c r="E111">
        <f>VLOOKUP(C111,[4]Sheet1!$A:$B,2,FALSE)</f>
        <v>5</v>
      </c>
      <c r="F111">
        <f>VLOOKUP(B111,[5]Sheet1!$A:$C,2,FALSE)</f>
        <v>0</v>
      </c>
      <c r="G111">
        <f>VLOOKUP(B111,[5]Sheet1!$A:$C,3,FALSE)</f>
        <v>0</v>
      </c>
      <c r="H111">
        <f>VLOOKUP(C111,[5]Sheet1!$A:$C,2,FALSE)</f>
        <v>4</v>
      </c>
      <c r="I111">
        <f>VLOOKUP(C111,[5]Sheet1!$A:$C,3,FALSE)</f>
        <v>5</v>
      </c>
      <c r="M111">
        <v>-1</v>
      </c>
      <c r="N111" s="2">
        <f>VLOOKUP(B111,[6]Sheet1!$A:$B,2,FALSE)</f>
        <v>31</v>
      </c>
      <c r="O111">
        <f>VLOOKUP(C111,[6]Sheet1!$A:$B,2,FALSE)</f>
        <v>4</v>
      </c>
    </row>
    <row r="112" spans="1:15" ht="22.2" customHeight="1">
      <c r="A112" t="s">
        <v>165</v>
      </c>
      <c r="B112" t="s">
        <v>160</v>
      </c>
      <c r="C112" t="s">
        <v>87</v>
      </c>
      <c r="D112">
        <f>VLOOKUP(B112,[4]Sheet1!$A:$B,2,FALSE)</f>
        <v>45</v>
      </c>
      <c r="E112">
        <f>VLOOKUP(C112,[4]Sheet1!$A:$B,2,FALSE)</f>
        <v>21</v>
      </c>
      <c r="F112">
        <f>VLOOKUP(B112,[5]Sheet1!$A:$C,2,FALSE)</f>
        <v>2</v>
      </c>
      <c r="G112">
        <f>VLOOKUP(B112,[5]Sheet1!$A:$C,3,FALSE)</f>
        <v>2</v>
      </c>
      <c r="H112">
        <f>VLOOKUP(C112,[5]Sheet1!$A:$C,2,FALSE)</f>
        <v>0</v>
      </c>
      <c r="I112">
        <f>VLOOKUP(C112,[5]Sheet1!$A:$C,3,FALSE)</f>
        <v>0</v>
      </c>
      <c r="M112">
        <v>1</v>
      </c>
      <c r="N112" s="2">
        <f>VLOOKUP(B112,[6]Sheet1!$A:$B,2,FALSE)</f>
        <v>15</v>
      </c>
      <c r="O112">
        <f>VLOOKUP(C112,[6]Sheet1!$A:$B,2,FALSE)</f>
        <v>26</v>
      </c>
    </row>
    <row r="113" spans="1:15" ht="22.2" customHeight="1">
      <c r="A113" t="s">
        <v>166</v>
      </c>
      <c r="B113" t="s">
        <v>56</v>
      </c>
      <c r="C113" t="s">
        <v>67</v>
      </c>
      <c r="D113">
        <f>VLOOKUP(B113,[4]Sheet1!$A:$B,2,FALSE)</f>
        <v>19</v>
      </c>
      <c r="E113">
        <f>VLOOKUP(C113,[4]Sheet1!$A:$B,2,FALSE)</f>
        <v>16</v>
      </c>
      <c r="F113">
        <f>VLOOKUP(B113,[5]Sheet1!$A:$C,2,FALSE)</f>
        <v>4</v>
      </c>
      <c r="G113">
        <f>VLOOKUP(B113,[5]Sheet1!$A:$C,3,FALSE)</f>
        <v>5</v>
      </c>
      <c r="H113">
        <f>VLOOKUP(C113,[5]Sheet1!$A:$C,2,FALSE)</f>
        <v>2</v>
      </c>
      <c r="I113">
        <f>VLOOKUP(C113,[5]Sheet1!$A:$C,3,FALSE)</f>
        <v>2</v>
      </c>
      <c r="M113">
        <v>1</v>
      </c>
      <c r="N113" s="2">
        <f>VLOOKUP(B113,[6]Sheet1!$A:$B,2,FALSE)</f>
        <v>2</v>
      </c>
      <c r="O113">
        <f>VLOOKUP(C113,[6]Sheet1!$A:$B,2,FALSE)</f>
        <v>11</v>
      </c>
    </row>
    <row r="114" spans="1:15" ht="22.2" customHeight="1">
      <c r="A114" t="s">
        <v>167</v>
      </c>
      <c r="B114" t="s">
        <v>63</v>
      </c>
      <c r="C114" t="s">
        <v>74</v>
      </c>
      <c r="D114">
        <f>VLOOKUP(B114,[4]Sheet1!$A:$B,2,FALSE)</f>
        <v>9</v>
      </c>
      <c r="E114">
        <f>VLOOKUP(C114,[4]Sheet1!$A:$B,2,FALSE)</f>
        <v>4</v>
      </c>
      <c r="F114">
        <f>VLOOKUP(B114,[5]Sheet1!$A:$C,2,FALSE)</f>
        <v>5</v>
      </c>
      <c r="G114">
        <f>VLOOKUP(B114,[5]Sheet1!$A:$C,3,FALSE)</f>
        <v>6</v>
      </c>
      <c r="H114">
        <f>VLOOKUP(C114,[5]Sheet1!$A:$C,2,FALSE)</f>
        <v>2</v>
      </c>
      <c r="I114">
        <f>VLOOKUP(C114,[5]Sheet1!$A:$C,3,FALSE)</f>
        <v>2</v>
      </c>
      <c r="M114">
        <v>1</v>
      </c>
      <c r="N114" s="2">
        <f>VLOOKUP(B114,[6]Sheet1!$A:$B,2,FALSE)</f>
        <v>9</v>
      </c>
      <c r="O114">
        <f>VLOOKUP(C114,[6]Sheet1!$A:$B,2,FALSE)</f>
        <v>12</v>
      </c>
    </row>
    <row r="115" spans="1:15" ht="22.2" customHeight="1">
      <c r="A115" t="s">
        <v>168</v>
      </c>
      <c r="B115" t="s">
        <v>76</v>
      </c>
      <c r="C115" t="s">
        <v>145</v>
      </c>
      <c r="D115">
        <f>VLOOKUP(B115,[4]Sheet1!$A:$B,2,FALSE)</f>
        <v>13</v>
      </c>
      <c r="E115">
        <f>VLOOKUP(C115,[4]Sheet1!$A:$B,2,FALSE)</f>
        <v>42</v>
      </c>
      <c r="F115">
        <f>VLOOKUP(B115,[5]Sheet1!$A:$C,2,FALSE)</f>
        <v>5</v>
      </c>
      <c r="G115">
        <f>VLOOKUP(B115,[5]Sheet1!$A:$C,3,FALSE)</f>
        <v>6</v>
      </c>
      <c r="H115">
        <f>VLOOKUP(C115,[5]Sheet1!$A:$C,2,FALSE)</f>
        <v>1</v>
      </c>
      <c r="I115">
        <f>VLOOKUP(C115,[5]Sheet1!$A:$C,3,FALSE)</f>
        <v>1</v>
      </c>
      <c r="M115">
        <v>1</v>
      </c>
      <c r="N115" s="2">
        <f>VLOOKUP(B115,[6]Sheet1!$A:$B,2,FALSE)</f>
        <v>1</v>
      </c>
      <c r="O115">
        <f>VLOOKUP(C115,[6]Sheet1!$A:$B,2,FALSE)</f>
        <v>17</v>
      </c>
    </row>
    <row r="116" spans="1:15" ht="22.2" customHeight="1">
      <c r="A116" t="s">
        <v>169</v>
      </c>
      <c r="B116" t="s">
        <v>154</v>
      </c>
      <c r="C116" t="s">
        <v>160</v>
      </c>
      <c r="D116">
        <f>VLOOKUP(B116,[4]Sheet1!$A:$B,2,FALSE)</f>
        <v>35</v>
      </c>
      <c r="E116">
        <f>VLOOKUP(C116,[4]Sheet1!$A:$B,2,FALSE)</f>
        <v>45</v>
      </c>
      <c r="F116">
        <f>VLOOKUP(B116,[5]Sheet1!$A:$C,2,FALSE)</f>
        <v>1</v>
      </c>
      <c r="G116">
        <f>VLOOKUP(B116,[5]Sheet1!$A:$C,3,FALSE)</f>
        <v>1</v>
      </c>
      <c r="H116">
        <f>VLOOKUP(C116,[5]Sheet1!$A:$C,2,FALSE)</f>
        <v>2</v>
      </c>
      <c r="I116">
        <f>VLOOKUP(C116,[5]Sheet1!$A:$C,3,FALSE)</f>
        <v>2</v>
      </c>
      <c r="M116">
        <v>0</v>
      </c>
      <c r="N116" s="2">
        <f>VLOOKUP(B116,[6]Sheet1!$A:$B,2,FALSE)</f>
        <v>13</v>
      </c>
      <c r="O116">
        <f>VLOOKUP(C116,[6]Sheet1!$A:$B,2,FALSE)</f>
        <v>15</v>
      </c>
    </row>
    <row r="117" spans="1:15" ht="22.2" customHeight="1">
      <c r="A117" t="s">
        <v>170</v>
      </c>
      <c r="B117" t="s">
        <v>66</v>
      </c>
      <c r="C117" t="s">
        <v>77</v>
      </c>
      <c r="D117">
        <f>VLOOKUP(B117,[4]Sheet1!$A:$B,2,FALSE)</f>
        <v>10</v>
      </c>
      <c r="E117">
        <f>VLOOKUP(C117,[4]Sheet1!$A:$B,2,FALSE)</f>
        <v>39</v>
      </c>
      <c r="F117">
        <f>VLOOKUP(B117,[5]Sheet1!$A:$C,2,FALSE)</f>
        <v>4</v>
      </c>
      <c r="G117">
        <f>VLOOKUP(B117,[5]Sheet1!$A:$C,3,FALSE)</f>
        <v>5</v>
      </c>
      <c r="H117">
        <f>VLOOKUP(C117,[5]Sheet1!$A:$C,2,FALSE)</f>
        <v>1</v>
      </c>
      <c r="I117">
        <f>VLOOKUP(C117,[5]Sheet1!$A:$C,3,FALSE)</f>
        <v>1</v>
      </c>
      <c r="M117">
        <v>1</v>
      </c>
      <c r="N117" s="2">
        <f>VLOOKUP(B117,[6]Sheet1!$A:$B,2,FALSE)</f>
        <v>5</v>
      </c>
      <c r="O117">
        <f>VLOOKUP(C117,[6]Sheet1!$A:$B,2,FALSE)</f>
        <v>23</v>
      </c>
    </row>
    <row r="118" spans="1:15" ht="22.2" customHeight="1">
      <c r="A118" t="s">
        <v>171</v>
      </c>
      <c r="B118" t="s">
        <v>43</v>
      </c>
      <c r="C118" t="s">
        <v>123</v>
      </c>
      <c r="D118">
        <f>VLOOKUP(B118,[4]Sheet1!$A:$B,2,FALSE)</f>
        <v>7</v>
      </c>
      <c r="E118">
        <f>VLOOKUP(C118,[4]Sheet1!$A:$B,2,FALSE)</f>
        <v>3</v>
      </c>
      <c r="F118">
        <f>VLOOKUP(B118,[5]Sheet1!$A:$C,2,FALSE)</f>
        <v>4</v>
      </c>
      <c r="G118">
        <f>VLOOKUP(B118,[5]Sheet1!$A:$C,3,FALSE)</f>
        <v>5</v>
      </c>
      <c r="H118">
        <f>VLOOKUP(C118,[5]Sheet1!$A:$C,2,FALSE)</f>
        <v>4</v>
      </c>
      <c r="I118">
        <f>VLOOKUP(C118,[5]Sheet1!$A:$C,3,FALSE)</f>
        <v>5</v>
      </c>
      <c r="M118">
        <v>1</v>
      </c>
      <c r="N118" s="2">
        <f>VLOOKUP(B118,[6]Sheet1!$A:$B,2,FALSE)</f>
        <v>8</v>
      </c>
      <c r="O118">
        <f>VLOOKUP(C118,[6]Sheet1!$A:$B,2,FALSE)</f>
        <v>10</v>
      </c>
    </row>
    <row r="119" spans="1:15" ht="22.2" customHeight="1">
      <c r="A119" t="s">
        <v>172</v>
      </c>
      <c r="B119" t="s">
        <v>29</v>
      </c>
      <c r="C119" t="s">
        <v>139</v>
      </c>
      <c r="D119">
        <f>VLOOKUP(B119,[4]Sheet1!$A:$B,2,FALSE)</f>
        <v>1</v>
      </c>
      <c r="E119">
        <f>VLOOKUP(C119,[4]Sheet1!$A:$B,2,FALSE)</f>
        <v>48</v>
      </c>
      <c r="F119">
        <f>VLOOKUP(B119,[5]Sheet1!$A:$C,2,FALSE)</f>
        <v>6</v>
      </c>
      <c r="G119">
        <f>VLOOKUP(B119,[5]Sheet1!$A:$C,3,FALSE)</f>
        <v>8</v>
      </c>
      <c r="H119">
        <f>VLOOKUP(C119,[5]Sheet1!$A:$C,2,FALSE)</f>
        <v>2</v>
      </c>
      <c r="I119">
        <f>VLOOKUP(C119,[5]Sheet1!$A:$C,3,FALSE)</f>
        <v>2</v>
      </c>
      <c r="M119">
        <v>1</v>
      </c>
      <c r="N119" s="2">
        <f>VLOOKUP(B119,[6]Sheet1!$A:$B,2,FALSE)</f>
        <v>6</v>
      </c>
      <c r="O119">
        <f>VLOOKUP(C119,[6]Sheet1!$A:$B,2,FALSE)</f>
        <v>19</v>
      </c>
    </row>
    <row r="120" spans="1:15" ht="22.2" customHeight="1">
      <c r="A120" t="s">
        <v>173</v>
      </c>
      <c r="B120" t="s">
        <v>22</v>
      </c>
      <c r="C120" t="s">
        <v>9</v>
      </c>
      <c r="D120">
        <f>VLOOKUP(B120,[4]Sheet1!$A:$B,2,FALSE)</f>
        <v>5</v>
      </c>
      <c r="E120">
        <f>VLOOKUP(C120,[4]Sheet1!$A:$B,2,FALSE)</f>
        <v>8</v>
      </c>
      <c r="F120">
        <f>VLOOKUP(B120,[5]Sheet1!$A:$C,2,FALSE)</f>
        <v>4</v>
      </c>
      <c r="G120">
        <f>VLOOKUP(B120,[5]Sheet1!$A:$C,3,FALSE)</f>
        <v>5</v>
      </c>
      <c r="H120">
        <f>VLOOKUP(C120,[5]Sheet1!$A:$C,2,FALSE)</f>
        <v>5</v>
      </c>
      <c r="I120">
        <f>VLOOKUP(C120,[5]Sheet1!$A:$C,3,FALSE)</f>
        <v>6</v>
      </c>
      <c r="M120">
        <v>-1</v>
      </c>
      <c r="N120" s="2">
        <f>VLOOKUP(B120,[6]Sheet1!$A:$B,2,FALSE)</f>
        <v>4</v>
      </c>
      <c r="O120">
        <f>VLOOKUP(C120,[6]Sheet1!$A:$B,2,FALSE)</f>
        <v>3</v>
      </c>
    </row>
    <row r="121" spans="1:15" ht="22.2" customHeight="1">
      <c r="A121" t="s">
        <v>174</v>
      </c>
      <c r="B121" t="s">
        <v>56</v>
      </c>
      <c r="C121" t="s">
        <v>63</v>
      </c>
      <c r="D121">
        <f>VLOOKUP(B121,[4]Sheet1!$A:$B,2,FALSE)</f>
        <v>19</v>
      </c>
      <c r="E121">
        <f>VLOOKUP(C121,[4]Sheet1!$A:$B,2,FALSE)</f>
        <v>9</v>
      </c>
      <c r="F121">
        <f>VLOOKUP(B121,[5]Sheet1!$A:$C,2,FALSE)</f>
        <v>4</v>
      </c>
      <c r="G121">
        <f>VLOOKUP(B121,[5]Sheet1!$A:$C,3,FALSE)</f>
        <v>5</v>
      </c>
      <c r="H121">
        <f>VLOOKUP(C121,[5]Sheet1!$A:$C,2,FALSE)</f>
        <v>5</v>
      </c>
      <c r="I121">
        <f>VLOOKUP(C121,[5]Sheet1!$A:$C,3,FALSE)</f>
        <v>6</v>
      </c>
      <c r="M121">
        <v>0</v>
      </c>
      <c r="N121" s="2">
        <f>VLOOKUP(B121,[6]Sheet1!$A:$B,2,FALSE)</f>
        <v>2</v>
      </c>
      <c r="O121">
        <f>VLOOKUP(C121,[6]Sheet1!$A:$B,2,FALSE)</f>
        <v>9</v>
      </c>
    </row>
    <row r="122" spans="1:15" ht="22.2" customHeight="1">
      <c r="A122" t="s">
        <v>175</v>
      </c>
      <c r="B122" t="s">
        <v>76</v>
      </c>
      <c r="C122" t="s">
        <v>160</v>
      </c>
      <c r="D122">
        <f>VLOOKUP(B122,[4]Sheet1!$A:$B,2,FALSE)</f>
        <v>13</v>
      </c>
      <c r="E122">
        <f>VLOOKUP(C122,[4]Sheet1!$A:$B,2,FALSE)</f>
        <v>45</v>
      </c>
      <c r="F122">
        <f>VLOOKUP(B122,[5]Sheet1!$A:$C,2,FALSE)</f>
        <v>5</v>
      </c>
      <c r="G122">
        <f>VLOOKUP(B122,[5]Sheet1!$A:$C,3,FALSE)</f>
        <v>6</v>
      </c>
      <c r="H122">
        <f>VLOOKUP(C122,[5]Sheet1!$A:$C,2,FALSE)</f>
        <v>2</v>
      </c>
      <c r="I122">
        <f>VLOOKUP(C122,[5]Sheet1!$A:$C,3,FALSE)</f>
        <v>2</v>
      </c>
      <c r="M122">
        <v>1</v>
      </c>
      <c r="N122" s="2">
        <f>VLOOKUP(B122,[6]Sheet1!$A:$B,2,FALSE)</f>
        <v>1</v>
      </c>
      <c r="O122">
        <f>VLOOKUP(C122,[6]Sheet1!$A:$B,2,FALSE)</f>
        <v>15</v>
      </c>
    </row>
    <row r="123" spans="1:15" ht="22.2" customHeight="1">
      <c r="A123" t="s">
        <v>176</v>
      </c>
      <c r="B123" t="s">
        <v>66</v>
      </c>
      <c r="C123" t="s">
        <v>43</v>
      </c>
      <c r="D123">
        <f>VLOOKUP(B123,[4]Sheet1!$A:$B,2,FALSE)</f>
        <v>10</v>
      </c>
      <c r="E123">
        <f>VLOOKUP(C123,[4]Sheet1!$A:$B,2,FALSE)</f>
        <v>7</v>
      </c>
      <c r="F123">
        <f>VLOOKUP(B123,[5]Sheet1!$A:$C,2,FALSE)</f>
        <v>4</v>
      </c>
      <c r="G123">
        <f>VLOOKUP(B123,[5]Sheet1!$A:$C,3,FALSE)</f>
        <v>5</v>
      </c>
      <c r="H123">
        <f>VLOOKUP(C123,[5]Sheet1!$A:$C,2,FALSE)</f>
        <v>4</v>
      </c>
      <c r="I123">
        <f>VLOOKUP(C123,[5]Sheet1!$A:$C,3,FALSE)</f>
        <v>5</v>
      </c>
      <c r="M123">
        <v>0</v>
      </c>
      <c r="N123" s="2">
        <f>VLOOKUP(B123,[6]Sheet1!$A:$B,2,FALSE)</f>
        <v>5</v>
      </c>
      <c r="O123">
        <f>VLOOKUP(C123,[6]Sheet1!$A:$B,2,FALSE)</f>
        <v>8</v>
      </c>
    </row>
    <row r="124" spans="1:15" ht="22.2" customHeight="1">
      <c r="A124" t="s">
        <v>177</v>
      </c>
      <c r="B124" t="s">
        <v>29</v>
      </c>
      <c r="C124" t="s">
        <v>9</v>
      </c>
      <c r="D124">
        <f>VLOOKUP(B124,[4]Sheet1!$A:$B,2,FALSE)</f>
        <v>1</v>
      </c>
      <c r="E124">
        <f>VLOOKUP(C124,[4]Sheet1!$A:$B,2,FALSE)</f>
        <v>8</v>
      </c>
      <c r="F124">
        <f>VLOOKUP(B124,[5]Sheet1!$A:$C,2,FALSE)</f>
        <v>6</v>
      </c>
      <c r="G124">
        <f>VLOOKUP(B124,[5]Sheet1!$A:$C,3,FALSE)</f>
        <v>8</v>
      </c>
      <c r="H124">
        <f>VLOOKUP(C124,[5]Sheet1!$A:$C,2,FALSE)</f>
        <v>5</v>
      </c>
      <c r="I124">
        <f>VLOOKUP(C124,[5]Sheet1!$A:$C,3,FALSE)</f>
        <v>6</v>
      </c>
      <c r="M124">
        <v>-1</v>
      </c>
      <c r="N124" s="2">
        <f>VLOOKUP(B124,[6]Sheet1!$A:$B,2,FALSE)</f>
        <v>6</v>
      </c>
      <c r="O124">
        <f>VLOOKUP(C124,[6]Sheet1!$A:$B,2,FALSE)</f>
        <v>3</v>
      </c>
    </row>
    <row r="125" spans="1:15" ht="22.2" customHeight="1">
      <c r="A125" t="s">
        <v>178</v>
      </c>
      <c r="B125" t="s">
        <v>56</v>
      </c>
      <c r="C125" t="s">
        <v>76</v>
      </c>
      <c r="D125">
        <f>VLOOKUP(B125,[4]Sheet1!$A:$B,2,FALSE)</f>
        <v>19</v>
      </c>
      <c r="E125">
        <f>VLOOKUP(C125,[4]Sheet1!$A:$B,2,FALSE)</f>
        <v>13</v>
      </c>
      <c r="F125">
        <f>VLOOKUP(B125,[5]Sheet1!$A:$C,2,FALSE)</f>
        <v>4</v>
      </c>
      <c r="G125">
        <f>VLOOKUP(B125,[5]Sheet1!$A:$C,3,FALSE)</f>
        <v>5</v>
      </c>
      <c r="H125">
        <f>VLOOKUP(C125,[5]Sheet1!$A:$C,2,FALSE)</f>
        <v>5</v>
      </c>
      <c r="I125">
        <f>VLOOKUP(C125,[5]Sheet1!$A:$C,3,FALSE)</f>
        <v>6</v>
      </c>
      <c r="M125">
        <v>-1</v>
      </c>
      <c r="N125" s="2">
        <f>VLOOKUP(B125,[6]Sheet1!$A:$B,2,FALSE)</f>
        <v>2</v>
      </c>
      <c r="O125">
        <f>VLOOKUP(C125,[6]Sheet1!$A:$B,2,FALSE)</f>
        <v>1</v>
      </c>
    </row>
    <row r="126" spans="1:15" ht="22.2" customHeight="1">
      <c r="A126" t="s">
        <v>179</v>
      </c>
      <c r="B126" t="s">
        <v>43</v>
      </c>
      <c r="C126" t="s">
        <v>9</v>
      </c>
      <c r="D126">
        <f>VLOOKUP(B126,[4]Sheet1!$A:$B,2,FALSE)</f>
        <v>7</v>
      </c>
      <c r="E126">
        <f>VLOOKUP(C126,[4]Sheet1!$A:$B,2,FALSE)</f>
        <v>8</v>
      </c>
      <c r="F126">
        <f>VLOOKUP(B126,[5]Sheet1!$A:$C,2,FALSE)</f>
        <v>4</v>
      </c>
      <c r="G126">
        <f>VLOOKUP(B126,[5]Sheet1!$A:$C,3,FALSE)</f>
        <v>5</v>
      </c>
      <c r="H126">
        <f>VLOOKUP(C126,[5]Sheet1!$A:$C,2,FALSE)</f>
        <v>5</v>
      </c>
      <c r="I126">
        <f>VLOOKUP(C126,[5]Sheet1!$A:$C,3,FALSE)</f>
        <v>6</v>
      </c>
      <c r="M126">
        <v>-1</v>
      </c>
      <c r="N126" s="2">
        <f>VLOOKUP(B126,[6]Sheet1!$A:$B,2,FALSE)</f>
        <v>8</v>
      </c>
      <c r="O126">
        <f>VLOOKUP(C126,[6]Sheet1!$A:$B,2,FALSE)</f>
        <v>3</v>
      </c>
    </row>
    <row r="127" spans="1:15" ht="22.2" customHeight="1">
      <c r="A127" t="s">
        <v>180</v>
      </c>
      <c r="B127" t="s">
        <v>76</v>
      </c>
      <c r="C127" t="s">
        <v>9</v>
      </c>
      <c r="D127">
        <f>VLOOKUP(B127,[4]Sheet1!$A:$B,2,FALSE)</f>
        <v>13</v>
      </c>
      <c r="E127">
        <f>VLOOKUP(C127,[4]Sheet1!$A:$B,2,FALSE)</f>
        <v>8</v>
      </c>
      <c r="F127">
        <f>VLOOKUP(B127,[5]Sheet1!$A:$C,2,FALSE)</f>
        <v>5</v>
      </c>
      <c r="G127">
        <f>VLOOKUP(B127,[5]Sheet1!$A:$C,3,FALSE)</f>
        <v>6</v>
      </c>
      <c r="H127">
        <f>VLOOKUP(C127,[5]Sheet1!$A:$C,2,FALSE)</f>
        <v>5</v>
      </c>
      <c r="I127">
        <f>VLOOKUP(C127,[5]Sheet1!$A:$C,3,FALSE)</f>
        <v>6</v>
      </c>
      <c r="M127">
        <v>0</v>
      </c>
      <c r="N127" s="2">
        <f>VLOOKUP(B127,[6]Sheet1!$A:$B,2,FALSE)</f>
        <v>1</v>
      </c>
      <c r="O127">
        <f>VLOOKUP(C127,[6]Sheet1!$A:$B,2,FALSE)</f>
        <v>3</v>
      </c>
    </row>
    <row r="128" spans="1:15" ht="22.2" customHeight="1">
      <c r="A128" t="s">
        <v>181</v>
      </c>
      <c r="B128" t="s">
        <v>56</v>
      </c>
      <c r="C128" t="s">
        <v>43</v>
      </c>
      <c r="D128">
        <f>VLOOKUP(B128,[4]Sheet1!$A:$B,2,FALSE)</f>
        <v>19</v>
      </c>
      <c r="E128">
        <f>VLOOKUP(C128,[4]Sheet1!$A:$B,2,FALSE)</f>
        <v>7</v>
      </c>
      <c r="F128">
        <f>VLOOKUP(B128,[5]Sheet1!$A:$C,2,FALSE)</f>
        <v>4</v>
      </c>
      <c r="G128">
        <f>VLOOKUP(B128,[5]Sheet1!$A:$C,3,FALSE)</f>
        <v>5</v>
      </c>
      <c r="H128">
        <f>VLOOKUP(C128,[5]Sheet1!$A:$C,2,FALSE)</f>
        <v>4</v>
      </c>
      <c r="I128">
        <f>VLOOKUP(C128,[5]Sheet1!$A:$C,3,FALSE)</f>
        <v>5</v>
      </c>
      <c r="M128">
        <v>1</v>
      </c>
      <c r="N128" s="2">
        <f>VLOOKUP(B128,[6]Sheet1!$A:$B,2,FALSE)</f>
        <v>2</v>
      </c>
      <c r="O128">
        <f>VLOOKUP(C128,[6]Sheet1!$A:$B,2,FALSE)</f>
        <v>8</v>
      </c>
    </row>
    <row r="129" spans="1:15" ht="22.2" customHeight="1">
      <c r="A129" t="s">
        <v>184</v>
      </c>
      <c r="B129" t="s">
        <v>20</v>
      </c>
      <c r="C129" t="s">
        <v>74</v>
      </c>
      <c r="D129">
        <f>VLOOKUP(B129,[7]Sheet1!$A:$B,2,FALSE)</f>
        <v>83</v>
      </c>
      <c r="E129">
        <f>VLOOKUP(C129,[7]Sheet1!$A:$B,2,FALSE)</f>
        <v>17</v>
      </c>
      <c r="F129">
        <f>VLOOKUP(B129,[8]Sheet1!$A:$C,2,FALSE)</f>
        <v>0</v>
      </c>
      <c r="G129">
        <f>VLOOKUP(B129,[8]Sheet1!$A:$C,3,FALSE)</f>
        <v>0</v>
      </c>
      <c r="H129">
        <f>VLOOKUP(C129,[8]Sheet1!$A:$C,2,FALSE)</f>
        <v>1</v>
      </c>
      <c r="I129">
        <f>VLOOKUP(C129,[8]Sheet1!$A:$C,3,FALSE)</f>
        <v>2</v>
      </c>
      <c r="M129">
        <v>0</v>
      </c>
      <c r="N129" s="2">
        <f>VLOOKUP(B129,[9]Sheet1!$A:$B,2,FALSE)</f>
        <v>29</v>
      </c>
      <c r="O129">
        <f>VLOOKUP(C129,[9]Sheet1!$A:$B,2,FALSE)</f>
        <v>14</v>
      </c>
    </row>
    <row r="130" spans="1:15" ht="22.2" customHeight="1">
      <c r="A130" t="s">
        <v>185</v>
      </c>
      <c r="B130" t="s">
        <v>11</v>
      </c>
      <c r="C130" t="s">
        <v>9</v>
      </c>
      <c r="D130">
        <f>VLOOKUP(B130,[7]Sheet1!$A:$B,2,FALSE)</f>
        <v>16</v>
      </c>
      <c r="E130">
        <f>VLOOKUP(C130,[7]Sheet1!$A:$B,2,FALSE)</f>
        <v>9</v>
      </c>
      <c r="F130">
        <f>VLOOKUP(B130,[8]Sheet1!$A:$C,2,FALSE)</f>
        <v>1</v>
      </c>
      <c r="G130">
        <f>VLOOKUP(B130,[8]Sheet1!$A:$C,3,FALSE)</f>
        <v>2</v>
      </c>
      <c r="H130">
        <f>VLOOKUP(C130,[8]Sheet1!$A:$C,2,FALSE)</f>
        <v>2</v>
      </c>
      <c r="I130">
        <f>VLOOKUP(C130,[8]Sheet1!$A:$C,3,FALSE)</f>
        <v>3</v>
      </c>
      <c r="M130">
        <v>0</v>
      </c>
      <c r="N130" s="2">
        <f>VLOOKUP(B130,[9]Sheet1!$A:$B,2,FALSE)</f>
        <v>7</v>
      </c>
      <c r="O130">
        <f>VLOOKUP(C130,[9]Sheet1!$A:$B,2,FALSE)</f>
        <v>13</v>
      </c>
    </row>
    <row r="131" spans="1:15" ht="22.2" customHeight="1">
      <c r="A131" t="s">
        <v>186</v>
      </c>
      <c r="B131" t="s">
        <v>20</v>
      </c>
      <c r="C131" t="s">
        <v>11</v>
      </c>
      <c r="D131">
        <f>VLOOKUP(B131,[7]Sheet1!$A:$B,2,FALSE)</f>
        <v>83</v>
      </c>
      <c r="E131">
        <f>VLOOKUP(C131,[7]Sheet1!$A:$B,2,FALSE)</f>
        <v>16</v>
      </c>
      <c r="F131">
        <f>VLOOKUP(B131,[8]Sheet1!$A:$C,2,FALSE)</f>
        <v>0</v>
      </c>
      <c r="G131">
        <f>VLOOKUP(B131,[8]Sheet1!$A:$C,3,FALSE)</f>
        <v>0</v>
      </c>
      <c r="H131">
        <f>VLOOKUP(C131,[8]Sheet1!$A:$C,2,FALSE)</f>
        <v>1</v>
      </c>
      <c r="I131">
        <f>VLOOKUP(C131,[8]Sheet1!$A:$C,3,FALSE)</f>
        <v>2</v>
      </c>
      <c r="M131">
        <v>-1</v>
      </c>
      <c r="N131" s="2">
        <f>VLOOKUP(B131,[9]Sheet1!$A:$B,2,FALSE)</f>
        <v>29</v>
      </c>
      <c r="O131">
        <f>VLOOKUP(C131,[9]Sheet1!$A:$B,2,FALSE)</f>
        <v>7</v>
      </c>
    </row>
    <row r="132" spans="1:15" ht="22.2" customHeight="1">
      <c r="A132" t="s">
        <v>187</v>
      </c>
      <c r="B132" t="s">
        <v>9</v>
      </c>
      <c r="C132" t="s">
        <v>74</v>
      </c>
      <c r="D132">
        <f>VLOOKUP(B132,[7]Sheet1!$A:$B,2,FALSE)</f>
        <v>9</v>
      </c>
      <c r="E132">
        <f>VLOOKUP(C132,[7]Sheet1!$A:$B,2,FALSE)</f>
        <v>17</v>
      </c>
      <c r="F132">
        <f>VLOOKUP(B132,[8]Sheet1!$A:$C,2,FALSE)</f>
        <v>2</v>
      </c>
      <c r="G132">
        <f>VLOOKUP(B132,[8]Sheet1!$A:$C,3,FALSE)</f>
        <v>3</v>
      </c>
      <c r="H132">
        <f>VLOOKUP(C132,[8]Sheet1!$A:$C,2,FALSE)</f>
        <v>1</v>
      </c>
      <c r="I132">
        <f>VLOOKUP(C132,[8]Sheet1!$A:$C,3,FALSE)</f>
        <v>2</v>
      </c>
      <c r="M132">
        <v>-1</v>
      </c>
      <c r="N132" s="2">
        <f>VLOOKUP(B132,[9]Sheet1!$A:$B,2,FALSE)</f>
        <v>13</v>
      </c>
      <c r="O132">
        <f>VLOOKUP(C132,[9]Sheet1!$A:$B,2,FALSE)</f>
        <v>14</v>
      </c>
    </row>
    <row r="133" spans="1:15" ht="22.2" customHeight="1">
      <c r="A133" t="s">
        <v>188</v>
      </c>
      <c r="B133" t="s">
        <v>74</v>
      </c>
      <c r="C133" t="s">
        <v>11</v>
      </c>
      <c r="D133">
        <f>VLOOKUP(B133,[7]Sheet1!$A:$B,2,FALSE)</f>
        <v>17</v>
      </c>
      <c r="E133">
        <f>VLOOKUP(C133,[7]Sheet1!$A:$B,2,FALSE)</f>
        <v>16</v>
      </c>
      <c r="F133">
        <f>VLOOKUP(B133,[8]Sheet1!$A:$C,2,FALSE)</f>
        <v>1</v>
      </c>
      <c r="G133">
        <f>VLOOKUP(B133,[8]Sheet1!$A:$C,3,FALSE)</f>
        <v>2</v>
      </c>
      <c r="H133">
        <f>VLOOKUP(C133,[8]Sheet1!$A:$C,2,FALSE)</f>
        <v>1</v>
      </c>
      <c r="I133">
        <f>VLOOKUP(C133,[8]Sheet1!$A:$C,3,FALSE)</f>
        <v>2</v>
      </c>
      <c r="M133">
        <v>-1</v>
      </c>
      <c r="N133" s="2">
        <f>VLOOKUP(B133,[9]Sheet1!$A:$B,2,FALSE)</f>
        <v>14</v>
      </c>
      <c r="O133">
        <f>VLOOKUP(C133,[9]Sheet1!$A:$B,2,FALSE)</f>
        <v>7</v>
      </c>
    </row>
    <row r="134" spans="1:15" ht="22.2" customHeight="1">
      <c r="A134" t="s">
        <v>189</v>
      </c>
      <c r="B134" t="s">
        <v>9</v>
      </c>
      <c r="C134" t="s">
        <v>20</v>
      </c>
      <c r="D134">
        <f>VLOOKUP(B134,[7]Sheet1!$A:$B,2,FALSE)</f>
        <v>9</v>
      </c>
      <c r="E134">
        <f>VLOOKUP(C134,[7]Sheet1!$A:$B,2,FALSE)</f>
        <v>83</v>
      </c>
      <c r="F134">
        <f>VLOOKUP(B134,[8]Sheet1!$A:$C,2,FALSE)</f>
        <v>2</v>
      </c>
      <c r="G134">
        <f>VLOOKUP(B134,[8]Sheet1!$A:$C,3,FALSE)</f>
        <v>3</v>
      </c>
      <c r="H134">
        <f>VLOOKUP(C134,[8]Sheet1!$A:$C,2,FALSE)</f>
        <v>0</v>
      </c>
      <c r="I134">
        <f>VLOOKUP(C134,[8]Sheet1!$A:$C,3,FALSE)</f>
        <v>0</v>
      </c>
      <c r="M134">
        <v>-1</v>
      </c>
      <c r="N134" s="2">
        <f>VLOOKUP(B134,[9]Sheet1!$A:$B,2,FALSE)</f>
        <v>13</v>
      </c>
      <c r="O134">
        <f>VLOOKUP(C134,[9]Sheet1!$A:$B,2,FALSE)</f>
        <v>29</v>
      </c>
    </row>
    <row r="135" spans="1:15" ht="22.2" customHeight="1">
      <c r="A135" t="s">
        <v>190</v>
      </c>
      <c r="B135" t="s">
        <v>39</v>
      </c>
      <c r="C135" t="s">
        <v>191</v>
      </c>
      <c r="D135">
        <f>VLOOKUP(B135,[7]Sheet1!$A:$B,2,FALSE)</f>
        <v>47</v>
      </c>
      <c r="E135">
        <f>VLOOKUP(C135,[7]Sheet1!$A:$B,2,FALSE)</f>
        <v>13</v>
      </c>
      <c r="F135">
        <f>VLOOKUP(B135,[8]Sheet1!$A:$C,2,FALSE)</f>
        <v>0</v>
      </c>
      <c r="G135">
        <f>VLOOKUP(B135,[8]Sheet1!$A:$C,3,FALSE)</f>
        <v>1</v>
      </c>
      <c r="H135">
        <f>VLOOKUP(C135,[8]Sheet1!$A:$C,2,FALSE)</f>
        <v>0</v>
      </c>
      <c r="I135">
        <f>VLOOKUP(C135,[8]Sheet1!$A:$C,3,FALSE)</f>
        <v>1</v>
      </c>
      <c r="M135">
        <v>1</v>
      </c>
      <c r="N135" s="2">
        <f>VLOOKUP(B135,[9]Sheet1!$A:$B,2,FALSE)</f>
        <v>20</v>
      </c>
      <c r="O135">
        <f>VLOOKUP(C135,[9]Sheet1!$A:$B,2,FALSE)</f>
        <v>19</v>
      </c>
    </row>
    <row r="136" spans="1:15" ht="22.2" customHeight="1">
      <c r="A136" t="s">
        <v>192</v>
      </c>
      <c r="B136" t="s">
        <v>63</v>
      </c>
      <c r="C136" t="s">
        <v>64</v>
      </c>
      <c r="D136">
        <f>VLOOKUP(B136,[7]Sheet1!$A:$B,2,FALSE)</f>
        <v>7</v>
      </c>
      <c r="E136">
        <f>VLOOKUP(C136,[7]Sheet1!$A:$B,2,FALSE)</f>
        <v>21</v>
      </c>
      <c r="F136">
        <f>VLOOKUP(B136,[8]Sheet1!$A:$C,2,FALSE)</f>
        <v>2</v>
      </c>
      <c r="G136">
        <f>VLOOKUP(B136,[8]Sheet1!$A:$C,3,FALSE)</f>
        <v>4</v>
      </c>
      <c r="H136">
        <f>VLOOKUP(C136,[8]Sheet1!$A:$C,2,FALSE)</f>
        <v>1</v>
      </c>
      <c r="I136">
        <f>VLOOKUP(C136,[8]Sheet1!$A:$C,3,FALSE)</f>
        <v>2</v>
      </c>
      <c r="M136">
        <v>1</v>
      </c>
      <c r="N136" s="2">
        <f>VLOOKUP(B136,[9]Sheet1!$A:$B,2,FALSE)</f>
        <v>15</v>
      </c>
      <c r="O136">
        <f>VLOOKUP(C136,[9]Sheet1!$A:$B,2,FALSE)</f>
        <v>31</v>
      </c>
    </row>
    <row r="137" spans="1:15" ht="22.2" customHeight="1">
      <c r="A137" t="s">
        <v>193</v>
      </c>
      <c r="B137" t="s">
        <v>63</v>
      </c>
      <c r="C137" t="s">
        <v>39</v>
      </c>
      <c r="D137">
        <f>VLOOKUP(B137,[7]Sheet1!$A:$B,2,FALSE)</f>
        <v>7</v>
      </c>
      <c r="E137">
        <f>VLOOKUP(C137,[7]Sheet1!$A:$B,2,FALSE)</f>
        <v>47</v>
      </c>
      <c r="F137">
        <f>VLOOKUP(B137,[8]Sheet1!$A:$C,2,FALSE)</f>
        <v>2</v>
      </c>
      <c r="G137">
        <f>VLOOKUP(B137,[8]Sheet1!$A:$C,3,FALSE)</f>
        <v>4</v>
      </c>
      <c r="H137">
        <f>VLOOKUP(C137,[8]Sheet1!$A:$C,2,FALSE)</f>
        <v>0</v>
      </c>
      <c r="I137">
        <f>VLOOKUP(C137,[8]Sheet1!$A:$C,3,FALSE)</f>
        <v>1</v>
      </c>
      <c r="M137">
        <v>1</v>
      </c>
      <c r="N137" s="2">
        <f>VLOOKUP(B137,[9]Sheet1!$A:$B,2,FALSE)</f>
        <v>15</v>
      </c>
      <c r="O137">
        <f>VLOOKUP(C137,[9]Sheet1!$A:$B,2,FALSE)</f>
        <v>20</v>
      </c>
    </row>
    <row r="138" spans="1:15" ht="22.2" customHeight="1">
      <c r="A138" t="s">
        <v>194</v>
      </c>
      <c r="B138" t="s">
        <v>191</v>
      </c>
      <c r="C138" t="s">
        <v>64</v>
      </c>
      <c r="D138">
        <f>VLOOKUP(B138,[7]Sheet1!$A:$B,2,FALSE)</f>
        <v>13</v>
      </c>
      <c r="E138">
        <f>VLOOKUP(C138,[7]Sheet1!$A:$B,2,FALSE)</f>
        <v>21</v>
      </c>
      <c r="F138">
        <f>VLOOKUP(B138,[8]Sheet1!$A:$C,2,FALSE)</f>
        <v>0</v>
      </c>
      <c r="G138">
        <f>VLOOKUP(B138,[8]Sheet1!$A:$C,3,FALSE)</f>
        <v>1</v>
      </c>
      <c r="H138">
        <f>VLOOKUP(C138,[8]Sheet1!$A:$C,2,FALSE)</f>
        <v>1</v>
      </c>
      <c r="I138">
        <f>VLOOKUP(C138,[8]Sheet1!$A:$C,3,FALSE)</f>
        <v>2</v>
      </c>
      <c r="M138">
        <v>1</v>
      </c>
      <c r="N138" s="2">
        <f>VLOOKUP(B138,[9]Sheet1!$A:$B,2,FALSE)</f>
        <v>19</v>
      </c>
      <c r="O138">
        <f>VLOOKUP(C138,[9]Sheet1!$A:$B,2,FALSE)</f>
        <v>31</v>
      </c>
    </row>
    <row r="139" spans="1:15" ht="22.2" customHeight="1">
      <c r="A139" t="s">
        <v>195</v>
      </c>
      <c r="B139" t="s">
        <v>64</v>
      </c>
      <c r="C139" t="s">
        <v>39</v>
      </c>
      <c r="D139">
        <f>VLOOKUP(B139,[7]Sheet1!$A:$B,2,FALSE)</f>
        <v>21</v>
      </c>
      <c r="E139">
        <f>VLOOKUP(C139,[7]Sheet1!$A:$B,2,FALSE)</f>
        <v>47</v>
      </c>
      <c r="F139">
        <f>VLOOKUP(B139,[8]Sheet1!$A:$C,2,FALSE)</f>
        <v>1</v>
      </c>
      <c r="G139">
        <f>VLOOKUP(B139,[8]Sheet1!$A:$C,3,FALSE)</f>
        <v>2</v>
      </c>
      <c r="H139">
        <f>VLOOKUP(C139,[8]Sheet1!$A:$C,2,FALSE)</f>
        <v>0</v>
      </c>
      <c r="I139">
        <f>VLOOKUP(C139,[8]Sheet1!$A:$C,3,FALSE)</f>
        <v>1</v>
      </c>
      <c r="M139">
        <v>0</v>
      </c>
      <c r="N139" s="2">
        <f>VLOOKUP(B139,[9]Sheet1!$A:$B,2,FALSE)</f>
        <v>31</v>
      </c>
      <c r="O139">
        <f>VLOOKUP(C139,[9]Sheet1!$A:$B,2,FALSE)</f>
        <v>20</v>
      </c>
    </row>
    <row r="140" spans="1:15" ht="22.2" customHeight="1">
      <c r="A140" t="s">
        <v>196</v>
      </c>
      <c r="B140" t="s">
        <v>191</v>
      </c>
      <c r="C140" t="s">
        <v>63</v>
      </c>
      <c r="D140">
        <f>VLOOKUP(B140,[7]Sheet1!$A:$B,2,FALSE)</f>
        <v>13</v>
      </c>
      <c r="E140">
        <f>VLOOKUP(C140,[7]Sheet1!$A:$B,2,FALSE)</f>
        <v>7</v>
      </c>
      <c r="F140">
        <f>VLOOKUP(B140,[8]Sheet1!$A:$C,2,FALSE)</f>
        <v>0</v>
      </c>
      <c r="G140">
        <f>VLOOKUP(B140,[8]Sheet1!$A:$C,3,FALSE)</f>
        <v>1</v>
      </c>
      <c r="H140">
        <f>VLOOKUP(C140,[8]Sheet1!$A:$C,2,FALSE)</f>
        <v>2</v>
      </c>
      <c r="I140">
        <f>VLOOKUP(C140,[8]Sheet1!$A:$C,3,FALSE)</f>
        <v>4</v>
      </c>
      <c r="M140">
        <v>-1</v>
      </c>
      <c r="N140" s="2">
        <f>VLOOKUP(B140,[9]Sheet1!$A:$B,2,FALSE)</f>
        <v>19</v>
      </c>
      <c r="O140">
        <f>VLOOKUP(C140,[9]Sheet1!$A:$B,2,FALSE)</f>
        <v>15</v>
      </c>
    </row>
    <row r="141" spans="1:15" ht="22.2" customHeight="1">
      <c r="A141" t="s">
        <v>197</v>
      </c>
      <c r="B141" t="s">
        <v>66</v>
      </c>
      <c r="C141" t="s">
        <v>45</v>
      </c>
      <c r="D141">
        <f>VLOOKUP(B141,[7]Sheet1!$A:$B,2,FALSE)</f>
        <v>8</v>
      </c>
      <c r="E141">
        <f>VLOOKUP(C141,[7]Sheet1!$A:$B,2,FALSE)</f>
        <v>14</v>
      </c>
      <c r="F141">
        <f>VLOOKUP(B141,[8]Sheet1!$A:$C,2,FALSE)</f>
        <v>2</v>
      </c>
      <c r="G141">
        <f>VLOOKUP(B141,[8]Sheet1!$A:$C,3,FALSE)</f>
        <v>4</v>
      </c>
      <c r="H141">
        <f>VLOOKUP(C141,[8]Sheet1!$A:$C,2,FALSE)</f>
        <v>1</v>
      </c>
      <c r="I141">
        <f>VLOOKUP(C141,[8]Sheet1!$A:$C,3,FALSE)</f>
        <v>1</v>
      </c>
      <c r="M141">
        <v>0</v>
      </c>
      <c r="N141" s="2">
        <f>VLOOKUP(B141,[9]Sheet1!$A:$B,2,FALSE)</f>
        <v>12</v>
      </c>
      <c r="O141">
        <f>VLOOKUP(C141,[9]Sheet1!$A:$B,2,FALSE)</f>
        <v>15</v>
      </c>
    </row>
    <row r="142" spans="1:15" ht="22.2" customHeight="1">
      <c r="A142" t="s">
        <v>198</v>
      </c>
      <c r="B142" t="s">
        <v>199</v>
      </c>
      <c r="C142" t="s">
        <v>23</v>
      </c>
      <c r="D142">
        <f>VLOOKUP(B142,[7]Sheet1!$A:$B,2,FALSE)</f>
        <v>30</v>
      </c>
      <c r="E142">
        <f>VLOOKUP(C142,[7]Sheet1!$A:$B,2,FALSE)</f>
        <v>25</v>
      </c>
      <c r="F142">
        <f>VLOOKUP(B142,[8]Sheet1!$A:$C,2,FALSE)</f>
        <v>0</v>
      </c>
      <c r="G142">
        <f>VLOOKUP(B142,[8]Sheet1!$A:$C,3,FALSE)</f>
        <v>0</v>
      </c>
      <c r="H142">
        <f>VLOOKUP(C142,[8]Sheet1!$A:$C,2,FALSE)</f>
        <v>0</v>
      </c>
      <c r="I142">
        <f>VLOOKUP(C142,[8]Sheet1!$A:$C,3,FALSE)</f>
        <v>0</v>
      </c>
      <c r="M142">
        <v>-1</v>
      </c>
      <c r="N142" s="2">
        <f>VLOOKUP(B142,[9]Sheet1!$A:$B,2,FALSE)</f>
        <v>22</v>
      </c>
      <c r="O142">
        <f>VLOOKUP(C142,[9]Sheet1!$A:$B,2,FALSE)</f>
        <v>23</v>
      </c>
    </row>
    <row r="143" spans="1:15" ht="22.2" customHeight="1">
      <c r="A143" t="s">
        <v>200</v>
      </c>
      <c r="B143" t="s">
        <v>23</v>
      </c>
      <c r="C143" t="s">
        <v>45</v>
      </c>
      <c r="D143">
        <f>VLOOKUP(B143,[7]Sheet1!$A:$B,2,FALSE)</f>
        <v>25</v>
      </c>
      <c r="E143">
        <f>VLOOKUP(C143,[7]Sheet1!$A:$B,2,FALSE)</f>
        <v>14</v>
      </c>
      <c r="F143">
        <f>VLOOKUP(B143,[8]Sheet1!$A:$C,2,FALSE)</f>
        <v>0</v>
      </c>
      <c r="G143">
        <f>VLOOKUP(B143,[8]Sheet1!$A:$C,3,FALSE)</f>
        <v>0</v>
      </c>
      <c r="H143">
        <f>VLOOKUP(C143,[8]Sheet1!$A:$C,2,FALSE)</f>
        <v>1</v>
      </c>
      <c r="I143">
        <f>VLOOKUP(C143,[8]Sheet1!$A:$C,3,FALSE)</f>
        <v>1</v>
      </c>
      <c r="M143">
        <v>0</v>
      </c>
      <c r="N143" s="2">
        <f>VLOOKUP(B143,[9]Sheet1!$A:$B,2,FALSE)</f>
        <v>23</v>
      </c>
      <c r="O143">
        <f>VLOOKUP(C143,[9]Sheet1!$A:$B,2,FALSE)</f>
        <v>15</v>
      </c>
    </row>
    <row r="144" spans="1:15" ht="22.2" customHeight="1">
      <c r="A144" t="s">
        <v>201</v>
      </c>
      <c r="B144" t="s">
        <v>66</v>
      </c>
      <c r="C144" t="s">
        <v>199</v>
      </c>
      <c r="D144">
        <f>VLOOKUP(B144,[7]Sheet1!$A:$B,2,FALSE)</f>
        <v>8</v>
      </c>
      <c r="E144">
        <f>VLOOKUP(C144,[7]Sheet1!$A:$B,2,FALSE)</f>
        <v>30</v>
      </c>
      <c r="F144">
        <f>VLOOKUP(B144,[8]Sheet1!$A:$C,2,FALSE)</f>
        <v>2</v>
      </c>
      <c r="G144">
        <f>VLOOKUP(B144,[8]Sheet1!$A:$C,3,FALSE)</f>
        <v>4</v>
      </c>
      <c r="H144">
        <f>VLOOKUP(C144,[8]Sheet1!$A:$C,2,FALSE)</f>
        <v>0</v>
      </c>
      <c r="I144">
        <f>VLOOKUP(C144,[8]Sheet1!$A:$C,3,FALSE)</f>
        <v>0</v>
      </c>
      <c r="M144">
        <v>0</v>
      </c>
      <c r="N144" s="2">
        <f>VLOOKUP(B144,[9]Sheet1!$A:$B,2,FALSE)</f>
        <v>12</v>
      </c>
      <c r="O144">
        <f>VLOOKUP(C144,[9]Sheet1!$A:$B,2,FALSE)</f>
        <v>22</v>
      </c>
    </row>
    <row r="145" spans="1:15" ht="22.2" customHeight="1">
      <c r="A145" t="s">
        <v>202</v>
      </c>
      <c r="B145" t="s">
        <v>23</v>
      </c>
      <c r="C145" t="s">
        <v>66</v>
      </c>
      <c r="D145">
        <f>VLOOKUP(B145,[7]Sheet1!$A:$B,2,FALSE)</f>
        <v>25</v>
      </c>
      <c r="E145">
        <f>VLOOKUP(C145,[7]Sheet1!$A:$B,2,FALSE)</f>
        <v>8</v>
      </c>
      <c r="F145">
        <f>VLOOKUP(B145,[8]Sheet1!$A:$C,2,FALSE)</f>
        <v>0</v>
      </c>
      <c r="G145">
        <f>VLOOKUP(B145,[8]Sheet1!$A:$C,3,FALSE)</f>
        <v>0</v>
      </c>
      <c r="H145">
        <f>VLOOKUP(C145,[8]Sheet1!$A:$C,2,FALSE)</f>
        <v>2</v>
      </c>
      <c r="I145">
        <f>VLOOKUP(C145,[8]Sheet1!$A:$C,3,FALSE)</f>
        <v>4</v>
      </c>
      <c r="M145">
        <v>-1</v>
      </c>
      <c r="N145" s="2">
        <f>VLOOKUP(B145,[9]Sheet1!$A:$B,2,FALSE)</f>
        <v>23</v>
      </c>
      <c r="O145">
        <f>VLOOKUP(C145,[9]Sheet1!$A:$B,2,FALSE)</f>
        <v>12</v>
      </c>
    </row>
    <row r="146" spans="1:15" ht="22.2" customHeight="1">
      <c r="A146" t="s">
        <v>203</v>
      </c>
      <c r="B146" t="s">
        <v>42</v>
      </c>
      <c r="C146" t="s">
        <v>199</v>
      </c>
      <c r="D146">
        <f>VLOOKUP(B146,[7]Sheet1!$A:$B,2,FALSE)</f>
        <v>14</v>
      </c>
      <c r="E146">
        <f>VLOOKUP(C146,[7]Sheet1!$A:$B,2,FALSE)</f>
        <v>30</v>
      </c>
      <c r="F146">
        <f>VLOOKUP(B146,[8]Sheet1!$A:$C,2,FALSE)</f>
        <v>1</v>
      </c>
      <c r="G146">
        <f>VLOOKUP(B146,[8]Sheet1!$A:$C,3,FALSE)</f>
        <v>1</v>
      </c>
      <c r="H146">
        <f>VLOOKUP(C146,[8]Sheet1!$A:$C,2,FALSE)</f>
        <v>0</v>
      </c>
      <c r="I146">
        <f>VLOOKUP(C146,[8]Sheet1!$A:$C,3,FALSE)</f>
        <v>0</v>
      </c>
      <c r="M146">
        <v>1</v>
      </c>
      <c r="N146" s="2">
        <f>VLOOKUP(B146,[9]Sheet1!$A:$B,2,FALSE)</f>
        <v>15</v>
      </c>
      <c r="O146">
        <f>VLOOKUP(C146,[9]Sheet1!$A:$B,2,FALSE)</f>
        <v>22</v>
      </c>
    </row>
    <row r="147" spans="1:15" ht="22.2" customHeight="1">
      <c r="A147" t="s">
        <v>204</v>
      </c>
      <c r="B147" t="s">
        <v>122</v>
      </c>
      <c r="C147" t="s">
        <v>139</v>
      </c>
      <c r="D147">
        <f>VLOOKUP(B147,[7]Sheet1!$A:$B,2,FALSE)</f>
        <v>15</v>
      </c>
      <c r="E147">
        <f>VLOOKUP(C147,[7]Sheet1!$A:$B,2,FALSE)</f>
        <v>32</v>
      </c>
      <c r="F147">
        <f>VLOOKUP(B147,[8]Sheet1!$A:$C,2,FALSE)</f>
        <v>0</v>
      </c>
      <c r="G147">
        <f>VLOOKUP(B147,[8]Sheet1!$A:$C,3,FALSE)</f>
        <v>1</v>
      </c>
      <c r="H147">
        <f>VLOOKUP(C147,[8]Sheet1!$A:$C,2,FALSE)</f>
        <v>1</v>
      </c>
      <c r="I147">
        <f>VLOOKUP(C147,[8]Sheet1!$A:$C,3,FALSE)</f>
        <v>2</v>
      </c>
      <c r="M147">
        <v>-1</v>
      </c>
      <c r="N147" s="2">
        <f>VLOOKUP(B147,[9]Sheet1!$A:$B,2,FALSE)</f>
        <v>25</v>
      </c>
      <c r="O147">
        <f>VLOOKUP(C147,[9]Sheet1!$A:$B,2,FALSE)</f>
        <v>16</v>
      </c>
    </row>
    <row r="148" spans="1:15" ht="22.2" customHeight="1">
      <c r="A148" t="s">
        <v>205</v>
      </c>
      <c r="B148" t="s">
        <v>56</v>
      </c>
      <c r="C148" t="s">
        <v>145</v>
      </c>
      <c r="D148">
        <f>VLOOKUP(B148,[7]Sheet1!$A:$B,2,FALSE)</f>
        <v>6</v>
      </c>
      <c r="E148">
        <f>VLOOKUP(C148,[7]Sheet1!$A:$B,2,FALSE)</f>
        <v>20</v>
      </c>
      <c r="F148">
        <f>VLOOKUP(B148,[8]Sheet1!$A:$C,2,FALSE)</f>
        <v>2</v>
      </c>
      <c r="G148">
        <f>VLOOKUP(B148,[8]Sheet1!$A:$C,3,FALSE)</f>
        <v>4</v>
      </c>
      <c r="H148">
        <f>VLOOKUP(C148,[8]Sheet1!$A:$C,2,FALSE)</f>
        <v>0</v>
      </c>
      <c r="I148">
        <f>VLOOKUP(C148,[8]Sheet1!$A:$C,3,FALSE)</f>
        <v>1</v>
      </c>
      <c r="M148">
        <v>1</v>
      </c>
      <c r="N148" s="2">
        <f>VLOOKUP(B148,[9]Sheet1!$A:$B,2,FALSE)</f>
        <v>11</v>
      </c>
      <c r="O148">
        <f>VLOOKUP(C148,[9]Sheet1!$A:$B,2,FALSE)</f>
        <v>9</v>
      </c>
    </row>
    <row r="149" spans="1:15" ht="22.2" customHeight="1">
      <c r="A149" t="s">
        <v>206</v>
      </c>
      <c r="B149" t="s">
        <v>56</v>
      </c>
      <c r="C149" t="s">
        <v>122</v>
      </c>
      <c r="D149">
        <f>VLOOKUP(B149,[7]Sheet1!$A:$B,2,FALSE)</f>
        <v>6</v>
      </c>
      <c r="E149">
        <f>VLOOKUP(C149,[7]Sheet1!$A:$B,2,FALSE)</f>
        <v>15</v>
      </c>
      <c r="F149">
        <f>VLOOKUP(B149,[8]Sheet1!$A:$C,2,FALSE)</f>
        <v>2</v>
      </c>
      <c r="G149">
        <f>VLOOKUP(B149,[8]Sheet1!$A:$C,3,FALSE)</f>
        <v>4</v>
      </c>
      <c r="H149">
        <f>VLOOKUP(C149,[8]Sheet1!$A:$C,2,FALSE)</f>
        <v>0</v>
      </c>
      <c r="I149">
        <f>VLOOKUP(C149,[8]Sheet1!$A:$C,3,FALSE)</f>
        <v>1</v>
      </c>
      <c r="M149">
        <v>-1</v>
      </c>
      <c r="N149" s="2">
        <f>VLOOKUP(B149,[9]Sheet1!$A:$B,2,FALSE)</f>
        <v>11</v>
      </c>
      <c r="O149">
        <f>VLOOKUP(C149,[9]Sheet1!$A:$B,2,FALSE)</f>
        <v>25</v>
      </c>
    </row>
    <row r="150" spans="1:15" ht="22.2" customHeight="1">
      <c r="A150" t="s">
        <v>207</v>
      </c>
      <c r="B150" t="s">
        <v>139</v>
      </c>
      <c r="C150" t="s">
        <v>145</v>
      </c>
      <c r="D150">
        <f>VLOOKUP(B150,[7]Sheet1!$A:$B,2,FALSE)</f>
        <v>32</v>
      </c>
      <c r="E150">
        <f>VLOOKUP(C150,[7]Sheet1!$A:$B,2,FALSE)</f>
        <v>20</v>
      </c>
      <c r="F150">
        <f>VLOOKUP(B150,[8]Sheet1!$A:$C,2,FALSE)</f>
        <v>1</v>
      </c>
      <c r="G150">
        <f>VLOOKUP(B150,[8]Sheet1!$A:$C,3,FALSE)</f>
        <v>2</v>
      </c>
      <c r="H150">
        <f>VLOOKUP(C150,[8]Sheet1!$A:$C,2,FALSE)</f>
        <v>0</v>
      </c>
      <c r="I150">
        <f>VLOOKUP(C150,[8]Sheet1!$A:$C,3,FALSE)</f>
        <v>1</v>
      </c>
      <c r="M150">
        <v>0</v>
      </c>
      <c r="N150" s="2">
        <f>VLOOKUP(B150,[9]Sheet1!$A:$B,2,FALSE)</f>
        <v>16</v>
      </c>
      <c r="O150">
        <f>VLOOKUP(C150,[9]Sheet1!$A:$B,2,FALSE)</f>
        <v>9</v>
      </c>
    </row>
    <row r="151" spans="1:15" ht="22.2" customHeight="1">
      <c r="A151" t="s">
        <v>208</v>
      </c>
      <c r="B151" t="s">
        <v>139</v>
      </c>
      <c r="C151" t="s">
        <v>56</v>
      </c>
      <c r="D151">
        <f>VLOOKUP(B151,[7]Sheet1!$A:$B,2,FALSE)</f>
        <v>32</v>
      </c>
      <c r="E151">
        <f>VLOOKUP(C151,[7]Sheet1!$A:$B,2,FALSE)</f>
        <v>6</v>
      </c>
      <c r="F151">
        <f>VLOOKUP(B151,[8]Sheet1!$A:$C,2,FALSE)</f>
        <v>1</v>
      </c>
      <c r="G151">
        <f>VLOOKUP(B151,[8]Sheet1!$A:$C,3,FALSE)</f>
        <v>2</v>
      </c>
      <c r="H151">
        <f>VLOOKUP(C151,[8]Sheet1!$A:$C,2,FALSE)</f>
        <v>2</v>
      </c>
      <c r="I151">
        <f>VLOOKUP(C151,[8]Sheet1!$A:$C,3,FALSE)</f>
        <v>4</v>
      </c>
      <c r="M151">
        <v>-1</v>
      </c>
      <c r="N151" s="2">
        <f>VLOOKUP(B151,[9]Sheet1!$A:$B,2,FALSE)</f>
        <v>16</v>
      </c>
      <c r="O151">
        <f>VLOOKUP(C151,[9]Sheet1!$A:$B,2,FALSE)</f>
        <v>11</v>
      </c>
    </row>
    <row r="152" spans="1:15" ht="22.2" customHeight="1">
      <c r="A152" t="s">
        <v>209</v>
      </c>
      <c r="B152" t="s">
        <v>145</v>
      </c>
      <c r="C152" t="s">
        <v>122</v>
      </c>
      <c r="D152">
        <f>VLOOKUP(B152,[7]Sheet1!$A:$B,2,FALSE)</f>
        <v>20</v>
      </c>
      <c r="E152">
        <f>VLOOKUP(C152,[7]Sheet1!$A:$B,2,FALSE)</f>
        <v>15</v>
      </c>
      <c r="F152">
        <f>VLOOKUP(B152,[8]Sheet1!$A:$C,2,FALSE)</f>
        <v>0</v>
      </c>
      <c r="G152">
        <f>VLOOKUP(B152,[8]Sheet1!$A:$C,3,FALSE)</f>
        <v>1</v>
      </c>
      <c r="H152">
        <f>VLOOKUP(C152,[8]Sheet1!$A:$C,2,FALSE)</f>
        <v>0</v>
      </c>
      <c r="I152">
        <f>VLOOKUP(C152,[8]Sheet1!$A:$C,3,FALSE)</f>
        <v>1</v>
      </c>
      <c r="M152">
        <v>1</v>
      </c>
      <c r="N152" s="2">
        <f>VLOOKUP(B152,[9]Sheet1!$A:$B,2,FALSE)</f>
        <v>9</v>
      </c>
      <c r="O152">
        <f>VLOOKUP(C152,[9]Sheet1!$A:$B,2,FALSE)</f>
        <v>25</v>
      </c>
    </row>
    <row r="153" spans="1:15" ht="22.2" customHeight="1">
      <c r="A153" t="s">
        <v>210</v>
      </c>
      <c r="B153" t="s">
        <v>123</v>
      </c>
      <c r="C153" t="s">
        <v>12</v>
      </c>
      <c r="D153">
        <f>VLOOKUP(B153,[7]Sheet1!$A:$B,2,FALSE)</f>
        <v>4</v>
      </c>
      <c r="E153">
        <f>VLOOKUP(C153,[7]Sheet1!$A:$B,2,FALSE)</f>
        <v>36</v>
      </c>
      <c r="F153">
        <f>VLOOKUP(B153,[8]Sheet1!$A:$C,2,FALSE)</f>
        <v>3</v>
      </c>
      <c r="G153">
        <f>VLOOKUP(B153,[8]Sheet1!$A:$C,3,FALSE)</f>
        <v>5</v>
      </c>
      <c r="H153">
        <f>VLOOKUP(C153,[8]Sheet1!$A:$C,2,FALSE)</f>
        <v>1</v>
      </c>
      <c r="I153">
        <f>VLOOKUP(C153,[8]Sheet1!$A:$C,3,FALSE)</f>
        <v>2</v>
      </c>
      <c r="M153">
        <v>1</v>
      </c>
      <c r="N153" s="2">
        <f>VLOOKUP(B153,[9]Sheet1!$A:$B,2,FALSE)</f>
        <v>4</v>
      </c>
      <c r="O153">
        <f>VLOOKUP(C153,[9]Sheet1!$A:$B,2,FALSE)</f>
        <v>21</v>
      </c>
    </row>
    <row r="154" spans="1:15" ht="22.2" customHeight="1">
      <c r="A154" t="s">
        <v>211</v>
      </c>
      <c r="B154" t="s">
        <v>83</v>
      </c>
      <c r="C154" t="s">
        <v>54</v>
      </c>
      <c r="D154">
        <f>VLOOKUP(B154,[7]Sheet1!$A:$B,2,FALSE)</f>
        <v>45</v>
      </c>
      <c r="E154">
        <f>VLOOKUP(C154,[7]Sheet1!$A:$B,2,FALSE)</f>
        <v>19</v>
      </c>
      <c r="F154">
        <f>VLOOKUP(B154,[8]Sheet1!$A:$C,2,FALSE)</f>
        <v>0</v>
      </c>
      <c r="G154">
        <f>VLOOKUP(B154,[8]Sheet1!$A:$C,3,FALSE)</f>
        <v>0</v>
      </c>
      <c r="H154">
        <f>VLOOKUP(C154,[8]Sheet1!$A:$C,2,FALSE)</f>
        <v>1</v>
      </c>
      <c r="I154">
        <f>VLOOKUP(C154,[8]Sheet1!$A:$C,3,FALSE)</f>
        <v>2</v>
      </c>
      <c r="M154">
        <v>1</v>
      </c>
      <c r="N154" s="2">
        <f>VLOOKUP(B154,[9]Sheet1!$A:$B,2,FALSE)</f>
        <v>25</v>
      </c>
      <c r="O154">
        <f>VLOOKUP(C154,[9]Sheet1!$A:$B,2,FALSE)</f>
        <v>17</v>
      </c>
    </row>
    <row r="155" spans="1:15" ht="22.2" customHeight="1">
      <c r="A155" t="s">
        <v>212</v>
      </c>
      <c r="B155" t="s">
        <v>123</v>
      </c>
      <c r="C155" t="s">
        <v>83</v>
      </c>
      <c r="D155">
        <f>VLOOKUP(B155,[7]Sheet1!$A:$B,2,FALSE)</f>
        <v>4</v>
      </c>
      <c r="E155">
        <f>VLOOKUP(C155,[7]Sheet1!$A:$B,2,FALSE)</f>
        <v>45</v>
      </c>
      <c r="F155">
        <f>VLOOKUP(B155,[8]Sheet1!$A:$C,2,FALSE)</f>
        <v>3</v>
      </c>
      <c r="G155">
        <f>VLOOKUP(B155,[8]Sheet1!$A:$C,3,FALSE)</f>
        <v>5</v>
      </c>
      <c r="H155">
        <f>VLOOKUP(C155,[8]Sheet1!$A:$C,2,FALSE)</f>
        <v>0</v>
      </c>
      <c r="I155">
        <f>VLOOKUP(C155,[8]Sheet1!$A:$C,3,FALSE)</f>
        <v>0</v>
      </c>
      <c r="M155">
        <v>1</v>
      </c>
      <c r="N155" s="2">
        <f>VLOOKUP(B155,[9]Sheet1!$A:$B,2,FALSE)</f>
        <v>4</v>
      </c>
      <c r="O155">
        <f>VLOOKUP(C155,[9]Sheet1!$A:$B,2,FALSE)</f>
        <v>25</v>
      </c>
    </row>
    <row r="156" spans="1:15" ht="22.2" customHeight="1">
      <c r="A156" t="s">
        <v>213</v>
      </c>
      <c r="B156" t="s">
        <v>54</v>
      </c>
      <c r="C156" t="s">
        <v>12</v>
      </c>
      <c r="D156">
        <f>VLOOKUP(B156,[7]Sheet1!$A:$B,2,FALSE)</f>
        <v>19</v>
      </c>
      <c r="E156">
        <f>VLOOKUP(C156,[7]Sheet1!$A:$B,2,FALSE)</f>
        <v>36</v>
      </c>
      <c r="F156">
        <f>VLOOKUP(B156,[8]Sheet1!$A:$C,2,FALSE)</f>
        <v>1</v>
      </c>
      <c r="G156">
        <f>VLOOKUP(B156,[8]Sheet1!$A:$C,3,FALSE)</f>
        <v>2</v>
      </c>
      <c r="H156">
        <f>VLOOKUP(C156,[8]Sheet1!$A:$C,2,FALSE)</f>
        <v>1</v>
      </c>
      <c r="I156">
        <f>VLOOKUP(C156,[8]Sheet1!$A:$C,3,FALSE)</f>
        <v>2</v>
      </c>
      <c r="M156">
        <v>-1</v>
      </c>
      <c r="N156" s="2">
        <f>VLOOKUP(B156,[9]Sheet1!$A:$B,2,FALSE)</f>
        <v>17</v>
      </c>
      <c r="O156">
        <f>VLOOKUP(C156,[9]Sheet1!$A:$B,2,FALSE)</f>
        <v>21</v>
      </c>
    </row>
    <row r="157" spans="1:15" ht="22.2" customHeight="1">
      <c r="A157" t="s">
        <v>214</v>
      </c>
      <c r="B157" t="s">
        <v>12</v>
      </c>
      <c r="C157" t="s">
        <v>83</v>
      </c>
      <c r="D157">
        <f>VLOOKUP(B157,[7]Sheet1!$A:$B,2,FALSE)</f>
        <v>36</v>
      </c>
      <c r="E157">
        <f>VLOOKUP(C157,[7]Sheet1!$A:$B,2,FALSE)</f>
        <v>45</v>
      </c>
      <c r="F157">
        <f>VLOOKUP(B157,[8]Sheet1!$A:$C,2,FALSE)</f>
        <v>1</v>
      </c>
      <c r="G157">
        <f>VLOOKUP(B157,[8]Sheet1!$A:$C,3,FALSE)</f>
        <v>2</v>
      </c>
      <c r="H157">
        <f>VLOOKUP(C157,[8]Sheet1!$A:$C,2,FALSE)</f>
        <v>0</v>
      </c>
      <c r="I157">
        <f>VLOOKUP(C157,[8]Sheet1!$A:$C,3,FALSE)</f>
        <v>0</v>
      </c>
      <c r="M157">
        <v>-1</v>
      </c>
      <c r="N157" s="2">
        <f>VLOOKUP(B157,[9]Sheet1!$A:$B,2,FALSE)</f>
        <v>21</v>
      </c>
      <c r="O157">
        <f>VLOOKUP(C157,[9]Sheet1!$A:$B,2,FALSE)</f>
        <v>25</v>
      </c>
    </row>
    <row r="158" spans="1:15" ht="22.2" customHeight="1">
      <c r="A158" t="s">
        <v>215</v>
      </c>
      <c r="B158" t="s">
        <v>54</v>
      </c>
      <c r="C158" t="s">
        <v>123</v>
      </c>
      <c r="D158">
        <f>VLOOKUP(B158,[7]Sheet1!$A:$B,2,FALSE)</f>
        <v>19</v>
      </c>
      <c r="E158">
        <f>VLOOKUP(C158,[7]Sheet1!$A:$B,2,FALSE)</f>
        <v>4</v>
      </c>
      <c r="F158">
        <f>VLOOKUP(B158,[8]Sheet1!$A:$C,2,FALSE)</f>
        <v>1</v>
      </c>
      <c r="G158">
        <f>VLOOKUP(B158,[8]Sheet1!$A:$C,3,FALSE)</f>
        <v>2</v>
      </c>
      <c r="H158">
        <f>VLOOKUP(C158,[8]Sheet1!$A:$C,2,FALSE)</f>
        <v>3</v>
      </c>
      <c r="I158">
        <f>VLOOKUP(C158,[8]Sheet1!$A:$C,3,FALSE)</f>
        <v>5</v>
      </c>
      <c r="M158">
        <v>-1</v>
      </c>
      <c r="N158" s="2">
        <f>VLOOKUP(B158,[9]Sheet1!$A:$B,2,FALSE)</f>
        <v>17</v>
      </c>
      <c r="O158">
        <f>VLOOKUP(C158,[9]Sheet1!$A:$B,2,FALSE)</f>
        <v>4</v>
      </c>
    </row>
    <row r="159" spans="1:15" ht="22.2" customHeight="1">
      <c r="A159" t="s">
        <v>216</v>
      </c>
      <c r="B159" t="s">
        <v>76</v>
      </c>
      <c r="C159" t="s">
        <v>19</v>
      </c>
      <c r="D159">
        <f>VLOOKUP(B159,[7]Sheet1!$A:$B,2,FALSE)</f>
        <v>5</v>
      </c>
      <c r="E159">
        <f>VLOOKUP(C159,[7]Sheet1!$A:$B,2,FALSE)</f>
        <v>31</v>
      </c>
      <c r="F159">
        <f>VLOOKUP(B159,[8]Sheet1!$A:$C,2,FALSE)</f>
        <v>2</v>
      </c>
      <c r="G159">
        <f>VLOOKUP(B159,[8]Sheet1!$A:$C,3,FALSE)</f>
        <v>3</v>
      </c>
      <c r="H159">
        <f>VLOOKUP(C159,[8]Sheet1!$A:$C,2,FALSE)</f>
        <v>0</v>
      </c>
      <c r="I159">
        <f>VLOOKUP(C159,[8]Sheet1!$A:$C,3,FALSE)</f>
        <v>1</v>
      </c>
      <c r="M159">
        <v>0</v>
      </c>
      <c r="N159" s="2">
        <f>VLOOKUP(B159,[9]Sheet1!$A:$B,2,FALSE)</f>
        <v>9</v>
      </c>
      <c r="O159">
        <f>VLOOKUP(C159,[9]Sheet1!$A:$B,2,FALSE)</f>
        <v>18</v>
      </c>
    </row>
    <row r="160" spans="1:15" ht="22.2" customHeight="1">
      <c r="A160" t="s">
        <v>217</v>
      </c>
      <c r="B160" t="s">
        <v>218</v>
      </c>
      <c r="C160" t="s">
        <v>219</v>
      </c>
      <c r="D160">
        <f>VLOOKUP(B160,[7]Sheet1!$A:$B,2,FALSE)</f>
        <v>78</v>
      </c>
      <c r="E160">
        <f>VLOOKUP(C160,[7]Sheet1!$A:$B,2,FALSE)</f>
        <v>34</v>
      </c>
      <c r="F160">
        <f>VLOOKUP(B160,[8]Sheet1!$A:$C,2,FALSE)</f>
        <v>0</v>
      </c>
      <c r="G160">
        <f>VLOOKUP(B160,[8]Sheet1!$A:$C,3,FALSE)</f>
        <v>0</v>
      </c>
      <c r="H160">
        <f>VLOOKUP(C160,[8]Sheet1!$A:$C,2,FALSE)</f>
        <v>0</v>
      </c>
      <c r="I160">
        <f>VLOOKUP(C160,[8]Sheet1!$A:$C,3,FALSE)</f>
        <v>0</v>
      </c>
      <c r="M160">
        <v>0</v>
      </c>
      <c r="N160" s="2">
        <f>VLOOKUP(B160,[9]Sheet1!$A:$B,2,FALSE)</f>
        <v>30</v>
      </c>
      <c r="O160">
        <f>VLOOKUP(C160,[9]Sheet1!$A:$B,2,FALSE)</f>
        <v>26</v>
      </c>
    </row>
    <row r="161" spans="1:15" ht="22.2" customHeight="1">
      <c r="A161" t="s">
        <v>220</v>
      </c>
      <c r="B161" t="s">
        <v>219</v>
      </c>
      <c r="C161" t="s">
        <v>19</v>
      </c>
      <c r="D161">
        <f>VLOOKUP(B161,[7]Sheet1!$A:$B,2,FALSE)</f>
        <v>34</v>
      </c>
      <c r="E161">
        <f>VLOOKUP(C161,[7]Sheet1!$A:$B,2,FALSE)</f>
        <v>31</v>
      </c>
      <c r="F161">
        <f>VLOOKUP(B161,[8]Sheet1!$A:$C,2,FALSE)</f>
        <v>0</v>
      </c>
      <c r="G161">
        <f>VLOOKUP(B161,[8]Sheet1!$A:$C,3,FALSE)</f>
        <v>0</v>
      </c>
      <c r="H161">
        <f>VLOOKUP(C161,[8]Sheet1!$A:$C,2,FALSE)</f>
        <v>0</v>
      </c>
      <c r="I161">
        <f>VLOOKUP(C161,[8]Sheet1!$A:$C,3,FALSE)</f>
        <v>1</v>
      </c>
      <c r="M161">
        <v>-1</v>
      </c>
      <c r="N161" s="2">
        <f>VLOOKUP(B161,[9]Sheet1!$A:$B,2,FALSE)</f>
        <v>26</v>
      </c>
      <c r="O161">
        <f>VLOOKUP(C161,[9]Sheet1!$A:$B,2,FALSE)</f>
        <v>18</v>
      </c>
    </row>
    <row r="162" spans="1:15" ht="22.2" customHeight="1">
      <c r="A162" t="s">
        <v>221</v>
      </c>
      <c r="B162" t="s">
        <v>76</v>
      </c>
      <c r="C162" t="s">
        <v>218</v>
      </c>
      <c r="D162">
        <f>VLOOKUP(B162,[7]Sheet1!$A:$B,2,FALSE)</f>
        <v>5</v>
      </c>
      <c r="E162">
        <f>VLOOKUP(C162,[7]Sheet1!$A:$B,2,FALSE)</f>
        <v>78</v>
      </c>
      <c r="F162">
        <f>VLOOKUP(B162,[8]Sheet1!$A:$C,2,FALSE)</f>
        <v>2</v>
      </c>
      <c r="G162">
        <f>VLOOKUP(B162,[8]Sheet1!$A:$C,3,FALSE)</f>
        <v>3</v>
      </c>
      <c r="H162">
        <f>VLOOKUP(C162,[8]Sheet1!$A:$C,2,FALSE)</f>
        <v>0</v>
      </c>
      <c r="I162">
        <f>VLOOKUP(C162,[8]Sheet1!$A:$C,3,FALSE)</f>
        <v>0</v>
      </c>
      <c r="M162">
        <v>0</v>
      </c>
      <c r="N162" s="2">
        <f>VLOOKUP(B162,[9]Sheet1!$A:$B,2,FALSE)</f>
        <v>9</v>
      </c>
      <c r="O162">
        <f>VLOOKUP(C162,[9]Sheet1!$A:$B,2,FALSE)</f>
        <v>30</v>
      </c>
    </row>
    <row r="163" spans="1:15" ht="22.2" customHeight="1">
      <c r="A163" t="s">
        <v>222</v>
      </c>
      <c r="B163" t="s">
        <v>219</v>
      </c>
      <c r="C163" t="s">
        <v>76</v>
      </c>
      <c r="D163">
        <f>VLOOKUP(B163,[7]Sheet1!$A:$B,2,FALSE)</f>
        <v>34</v>
      </c>
      <c r="E163">
        <f>VLOOKUP(C163,[7]Sheet1!$A:$B,2,FALSE)</f>
        <v>5</v>
      </c>
      <c r="F163">
        <f>VLOOKUP(B163,[8]Sheet1!$A:$C,2,FALSE)</f>
        <v>0</v>
      </c>
      <c r="G163">
        <f>VLOOKUP(B163,[8]Sheet1!$A:$C,3,FALSE)</f>
        <v>0</v>
      </c>
      <c r="H163">
        <f>VLOOKUP(C163,[8]Sheet1!$A:$C,2,FALSE)</f>
        <v>2</v>
      </c>
      <c r="I163">
        <f>VLOOKUP(C163,[8]Sheet1!$A:$C,3,FALSE)</f>
        <v>3</v>
      </c>
      <c r="M163">
        <v>1</v>
      </c>
      <c r="N163" s="2">
        <f>VLOOKUP(B163,[9]Sheet1!$A:$B,2,FALSE)</f>
        <v>26</v>
      </c>
      <c r="O163">
        <f>VLOOKUP(C163,[9]Sheet1!$A:$B,2,FALSE)</f>
        <v>9</v>
      </c>
    </row>
    <row r="164" spans="1:15" ht="22.2" customHeight="1">
      <c r="A164" t="s">
        <v>223</v>
      </c>
      <c r="B164" t="s">
        <v>19</v>
      </c>
      <c r="C164" t="s">
        <v>218</v>
      </c>
      <c r="D164">
        <f>VLOOKUP(B164,[7]Sheet1!$A:$B,2,FALSE)</f>
        <v>31</v>
      </c>
      <c r="E164">
        <f>VLOOKUP(C164,[7]Sheet1!$A:$B,2,FALSE)</f>
        <v>78</v>
      </c>
      <c r="F164">
        <f>VLOOKUP(B164,[8]Sheet1!$A:$C,2,FALSE)</f>
        <v>0</v>
      </c>
      <c r="G164">
        <f>VLOOKUP(B164,[8]Sheet1!$A:$C,3,FALSE)</f>
        <v>1</v>
      </c>
      <c r="H164">
        <f>VLOOKUP(C164,[8]Sheet1!$A:$C,2,FALSE)</f>
        <v>0</v>
      </c>
      <c r="I164">
        <f>VLOOKUP(C164,[8]Sheet1!$A:$C,3,FALSE)</f>
        <v>0</v>
      </c>
      <c r="M164">
        <v>0</v>
      </c>
      <c r="N164" s="2">
        <f>VLOOKUP(B164,[9]Sheet1!$A:$B,2,FALSE)</f>
        <v>18</v>
      </c>
      <c r="O164">
        <f>VLOOKUP(C164,[9]Sheet1!$A:$B,2,FALSE)</f>
        <v>30</v>
      </c>
    </row>
    <row r="165" spans="1:15" ht="22.2" customHeight="1">
      <c r="A165" t="s">
        <v>224</v>
      </c>
      <c r="B165" t="s">
        <v>120</v>
      </c>
      <c r="C165" t="s">
        <v>43</v>
      </c>
      <c r="D165">
        <f>VLOOKUP(B165,[7]Sheet1!$A:$B,2,FALSE)</f>
        <v>27</v>
      </c>
      <c r="E165">
        <f>VLOOKUP(C165,[7]Sheet1!$A:$B,2,FALSE)</f>
        <v>3</v>
      </c>
      <c r="F165">
        <f>VLOOKUP(B165,[8]Sheet1!$A:$C,2,FALSE)</f>
        <v>2</v>
      </c>
      <c r="G165">
        <f>VLOOKUP(B165,[8]Sheet1!$A:$C,3,FALSE)</f>
        <v>3</v>
      </c>
      <c r="H165">
        <f>VLOOKUP(C165,[8]Sheet1!$A:$C,2,FALSE)</f>
        <v>2</v>
      </c>
      <c r="I165">
        <f>VLOOKUP(C165,[8]Sheet1!$A:$C,3,FALSE)</f>
        <v>4</v>
      </c>
      <c r="M165">
        <v>0</v>
      </c>
      <c r="N165" s="2">
        <f>VLOOKUP(B165,[9]Sheet1!$A:$B,2,FALSE)</f>
        <v>18</v>
      </c>
      <c r="O165">
        <f>VLOOKUP(C165,[9]Sheet1!$A:$B,2,FALSE)</f>
        <v>8</v>
      </c>
    </row>
    <row r="166" spans="1:15" ht="22.2" customHeight="1">
      <c r="A166" t="s">
        <v>225</v>
      </c>
      <c r="B166" t="s">
        <v>29</v>
      </c>
      <c r="C166" t="s">
        <v>226</v>
      </c>
      <c r="D166">
        <f>VLOOKUP(B166,[7]Sheet1!$A:$B,2,FALSE)</f>
        <v>1</v>
      </c>
      <c r="E166">
        <f>VLOOKUP(C166,[7]Sheet1!$A:$B,2,FALSE)</f>
        <v>105</v>
      </c>
      <c r="F166">
        <f>VLOOKUP(B166,[8]Sheet1!$A:$C,2,FALSE)</f>
        <v>3</v>
      </c>
      <c r="G166">
        <f>VLOOKUP(B166,[8]Sheet1!$A:$C,3,FALSE)</f>
        <v>6</v>
      </c>
      <c r="H166">
        <f>VLOOKUP(C166,[8]Sheet1!$A:$C,2,FALSE)</f>
        <v>0</v>
      </c>
      <c r="I166">
        <f>VLOOKUP(C166,[8]Sheet1!$A:$C,3,FALSE)</f>
        <v>0</v>
      </c>
      <c r="M166">
        <v>1</v>
      </c>
      <c r="N166" s="2">
        <f>VLOOKUP(B166,[9]Sheet1!$A:$B,2,FALSE)</f>
        <v>2</v>
      </c>
      <c r="O166">
        <f>VLOOKUP(C166,[9]Sheet1!$A:$B,2,FALSE)</f>
        <v>28</v>
      </c>
    </row>
    <row r="167" spans="1:15" ht="22.2" customHeight="1">
      <c r="A167" t="s">
        <v>227</v>
      </c>
      <c r="B167" t="s">
        <v>29</v>
      </c>
      <c r="C167" t="s">
        <v>120</v>
      </c>
      <c r="D167">
        <f>VLOOKUP(B167,[7]Sheet1!$A:$B,2,FALSE)</f>
        <v>1</v>
      </c>
      <c r="E167">
        <f>VLOOKUP(C167,[7]Sheet1!$A:$B,2,FALSE)</f>
        <v>27</v>
      </c>
      <c r="F167">
        <f>VLOOKUP(B167,[8]Sheet1!$A:$C,2,FALSE)</f>
        <v>3</v>
      </c>
      <c r="G167">
        <f>VLOOKUP(B167,[8]Sheet1!$A:$C,3,FALSE)</f>
        <v>6</v>
      </c>
      <c r="H167">
        <f>VLOOKUP(C167,[8]Sheet1!$A:$C,2,FALSE)</f>
        <v>2</v>
      </c>
      <c r="I167">
        <f>VLOOKUP(C167,[8]Sheet1!$A:$C,3,FALSE)</f>
        <v>3</v>
      </c>
      <c r="M167">
        <v>1</v>
      </c>
      <c r="N167" s="2">
        <f>VLOOKUP(B167,[9]Sheet1!$A:$B,2,FALSE)</f>
        <v>2</v>
      </c>
      <c r="O167">
        <f>VLOOKUP(C167,[9]Sheet1!$A:$B,2,FALSE)</f>
        <v>18</v>
      </c>
    </row>
    <row r="168" spans="1:15" ht="22.2" customHeight="1">
      <c r="A168" t="s">
        <v>228</v>
      </c>
      <c r="B168" t="s">
        <v>43</v>
      </c>
      <c r="C168" t="s">
        <v>226</v>
      </c>
      <c r="D168">
        <f>VLOOKUP(B168,[7]Sheet1!$A:$B,2,FALSE)</f>
        <v>3</v>
      </c>
      <c r="E168">
        <f>VLOOKUP(C168,[7]Sheet1!$A:$B,2,FALSE)</f>
        <v>105</v>
      </c>
      <c r="F168">
        <f>VLOOKUP(B168,[8]Sheet1!$A:$C,2,FALSE)</f>
        <v>2</v>
      </c>
      <c r="G168">
        <f>VLOOKUP(B168,[8]Sheet1!$A:$C,3,FALSE)</f>
        <v>4</v>
      </c>
      <c r="H168">
        <f>VLOOKUP(C168,[8]Sheet1!$A:$C,2,FALSE)</f>
        <v>0</v>
      </c>
      <c r="I168">
        <f>VLOOKUP(C168,[8]Sheet1!$A:$C,3,FALSE)</f>
        <v>0</v>
      </c>
      <c r="M168">
        <v>1</v>
      </c>
      <c r="N168" s="2">
        <f>VLOOKUP(B168,[9]Sheet1!$A:$B,2,FALSE)</f>
        <v>8</v>
      </c>
      <c r="O168">
        <f>VLOOKUP(C168,[9]Sheet1!$A:$B,2,FALSE)</f>
        <v>28</v>
      </c>
    </row>
    <row r="169" spans="1:15" ht="22.2" customHeight="1">
      <c r="A169" t="s">
        <v>229</v>
      </c>
      <c r="B169" t="s">
        <v>43</v>
      </c>
      <c r="C169" t="s">
        <v>29</v>
      </c>
      <c r="D169">
        <f>VLOOKUP(B169,[7]Sheet1!$A:$B,2,FALSE)</f>
        <v>3</v>
      </c>
      <c r="E169">
        <f>VLOOKUP(C169,[7]Sheet1!$A:$B,2,FALSE)</f>
        <v>1</v>
      </c>
      <c r="F169">
        <f>VLOOKUP(B169,[8]Sheet1!$A:$C,2,FALSE)</f>
        <v>2</v>
      </c>
      <c r="G169">
        <f>VLOOKUP(B169,[8]Sheet1!$A:$C,3,FALSE)</f>
        <v>4</v>
      </c>
      <c r="H169">
        <f>VLOOKUP(C169,[8]Sheet1!$A:$C,2,FALSE)</f>
        <v>3</v>
      </c>
      <c r="I169">
        <f>VLOOKUP(C169,[8]Sheet1!$A:$C,3,FALSE)</f>
        <v>6</v>
      </c>
      <c r="M169">
        <v>0</v>
      </c>
      <c r="N169" s="2">
        <f>VLOOKUP(B169,[9]Sheet1!$A:$B,2,FALSE)</f>
        <v>8</v>
      </c>
      <c r="O169">
        <f>VLOOKUP(C169,[9]Sheet1!$A:$B,2,FALSE)</f>
        <v>2</v>
      </c>
    </row>
    <row r="170" spans="1:15" ht="22.2" customHeight="1">
      <c r="A170" t="s">
        <v>230</v>
      </c>
      <c r="B170" t="s">
        <v>226</v>
      </c>
      <c r="C170" t="s">
        <v>120</v>
      </c>
      <c r="D170">
        <f>VLOOKUP(B170,[7]Sheet1!$A:$B,2,FALSE)</f>
        <v>105</v>
      </c>
      <c r="E170">
        <f>VLOOKUP(C170,[7]Sheet1!$A:$B,2,FALSE)</f>
        <v>27</v>
      </c>
      <c r="F170">
        <f>VLOOKUP(B170,[8]Sheet1!$A:$C,2,FALSE)</f>
        <v>0</v>
      </c>
      <c r="G170">
        <f>VLOOKUP(B170,[8]Sheet1!$A:$C,3,FALSE)</f>
        <v>0</v>
      </c>
      <c r="H170">
        <f>VLOOKUP(C170,[8]Sheet1!$A:$C,2,FALSE)</f>
        <v>2</v>
      </c>
      <c r="I170">
        <f>VLOOKUP(C170,[8]Sheet1!$A:$C,3,FALSE)</f>
        <v>3</v>
      </c>
      <c r="M170">
        <v>-1</v>
      </c>
      <c r="N170" s="2">
        <f>VLOOKUP(B170,[9]Sheet1!$A:$B,2,FALSE)</f>
        <v>28</v>
      </c>
      <c r="O170">
        <f>VLOOKUP(C170,[9]Sheet1!$A:$B,2,FALSE)</f>
        <v>18</v>
      </c>
    </row>
    <row r="171" spans="1:15" ht="22.2" customHeight="1">
      <c r="A171" t="s">
        <v>231</v>
      </c>
      <c r="B171" t="s">
        <v>232</v>
      </c>
      <c r="C171" t="s">
        <v>233</v>
      </c>
      <c r="D171">
        <f>VLOOKUP(B171,[7]Sheet1!$A:$B,2,FALSE)</f>
        <v>38</v>
      </c>
      <c r="E171">
        <f>VLOOKUP(C171,[7]Sheet1!$A:$B,2,FALSE)</f>
        <v>18</v>
      </c>
      <c r="F171">
        <f>VLOOKUP(B171,[8]Sheet1!$A:$C,2,FALSE)</f>
        <v>0</v>
      </c>
      <c r="G171">
        <f>VLOOKUP(B171,[8]Sheet1!$A:$C,3,FALSE)</f>
        <v>0</v>
      </c>
      <c r="H171">
        <f>VLOOKUP(C171,[8]Sheet1!$A:$C,2,FALSE)</f>
        <v>1</v>
      </c>
      <c r="I171">
        <f>VLOOKUP(C171,[8]Sheet1!$A:$C,3,FALSE)</f>
        <v>2</v>
      </c>
      <c r="M171">
        <v>-1</v>
      </c>
      <c r="N171" s="2">
        <f>VLOOKUP(B171,[9]Sheet1!$A:$B,2,FALSE)</f>
        <v>27</v>
      </c>
      <c r="O171">
        <f>VLOOKUP(C171,[9]Sheet1!$A:$B,2,FALSE)</f>
        <v>19</v>
      </c>
    </row>
    <row r="172" spans="1:15" ht="22.2" customHeight="1">
      <c r="A172" t="s">
        <v>234</v>
      </c>
      <c r="B172" t="s">
        <v>22</v>
      </c>
      <c r="C172" t="s">
        <v>154</v>
      </c>
      <c r="D172">
        <f>VLOOKUP(B172,[7]Sheet1!$A:$B,2,FALSE)</f>
        <v>2</v>
      </c>
      <c r="E172">
        <f>VLOOKUP(C172,[7]Sheet1!$A:$B,2,FALSE)</f>
        <v>24</v>
      </c>
      <c r="F172">
        <f>VLOOKUP(B172,[8]Sheet1!$A:$C,2,FALSE)</f>
        <v>4</v>
      </c>
      <c r="G172">
        <f>VLOOKUP(B172,[8]Sheet1!$A:$C,3,FALSE)</f>
        <v>6</v>
      </c>
      <c r="H172">
        <f>VLOOKUP(C172,[8]Sheet1!$A:$C,2,FALSE)</f>
        <v>0</v>
      </c>
      <c r="I172">
        <f>VLOOKUP(C172,[8]Sheet1!$A:$C,3,FALSE)</f>
        <v>1</v>
      </c>
      <c r="M172">
        <v>-1</v>
      </c>
      <c r="N172" s="2">
        <f>VLOOKUP(B172,[9]Sheet1!$A:$B,2,FALSE)</f>
        <v>1</v>
      </c>
      <c r="O172">
        <f>VLOOKUP(C172,[9]Sheet1!$A:$B,2,FALSE)</f>
        <v>24</v>
      </c>
    </row>
    <row r="173" spans="1:15" ht="22.2" customHeight="1">
      <c r="A173" t="s">
        <v>235</v>
      </c>
      <c r="B173" t="s">
        <v>233</v>
      </c>
      <c r="C173" t="s">
        <v>154</v>
      </c>
      <c r="D173">
        <f>VLOOKUP(B173,[7]Sheet1!$A:$B,2,FALSE)</f>
        <v>18</v>
      </c>
      <c r="E173">
        <f>VLOOKUP(C173,[7]Sheet1!$A:$B,2,FALSE)</f>
        <v>24</v>
      </c>
      <c r="F173">
        <f>VLOOKUP(B173,[8]Sheet1!$A:$C,2,FALSE)</f>
        <v>1</v>
      </c>
      <c r="G173">
        <f>VLOOKUP(B173,[8]Sheet1!$A:$C,3,FALSE)</f>
        <v>2</v>
      </c>
      <c r="H173">
        <f>VLOOKUP(C173,[8]Sheet1!$A:$C,2,FALSE)</f>
        <v>0</v>
      </c>
      <c r="I173">
        <f>VLOOKUP(C173,[8]Sheet1!$A:$C,3,FALSE)</f>
        <v>1</v>
      </c>
      <c r="M173">
        <v>1</v>
      </c>
      <c r="N173" s="2">
        <f>VLOOKUP(B173,[9]Sheet1!$A:$B,2,FALSE)</f>
        <v>19</v>
      </c>
      <c r="O173">
        <f>VLOOKUP(C173,[9]Sheet1!$A:$B,2,FALSE)</f>
        <v>24</v>
      </c>
    </row>
    <row r="174" spans="1:15" ht="22.2" customHeight="1">
      <c r="A174" t="s">
        <v>236</v>
      </c>
      <c r="B174" t="s">
        <v>22</v>
      </c>
      <c r="C174" t="s">
        <v>232</v>
      </c>
      <c r="D174">
        <f>VLOOKUP(B174,[7]Sheet1!$A:$B,2,FALSE)</f>
        <v>2</v>
      </c>
      <c r="E174">
        <f>VLOOKUP(C174,[7]Sheet1!$A:$B,2,FALSE)</f>
        <v>38</v>
      </c>
      <c r="F174">
        <f>VLOOKUP(B174,[8]Sheet1!$A:$C,2,FALSE)</f>
        <v>4</v>
      </c>
      <c r="G174">
        <f>VLOOKUP(B174,[8]Sheet1!$A:$C,3,FALSE)</f>
        <v>6</v>
      </c>
      <c r="H174">
        <f>VLOOKUP(C174,[8]Sheet1!$A:$C,2,FALSE)</f>
        <v>0</v>
      </c>
      <c r="I174">
        <f>VLOOKUP(C174,[8]Sheet1!$A:$C,3,FALSE)</f>
        <v>0</v>
      </c>
      <c r="M174">
        <v>1</v>
      </c>
      <c r="N174" s="2">
        <f>VLOOKUP(B174,[9]Sheet1!$A:$B,2,FALSE)</f>
        <v>1</v>
      </c>
      <c r="O174">
        <f>VLOOKUP(C174,[9]Sheet1!$A:$B,2,FALSE)</f>
        <v>27</v>
      </c>
    </row>
    <row r="175" spans="1:15" ht="22.2" customHeight="1">
      <c r="A175" t="s">
        <v>237</v>
      </c>
      <c r="B175" t="s">
        <v>233</v>
      </c>
      <c r="C175" t="s">
        <v>22</v>
      </c>
      <c r="D175">
        <f>VLOOKUP(B175,[7]Sheet1!$A:$B,2,FALSE)</f>
        <v>18</v>
      </c>
      <c r="E175">
        <f>VLOOKUP(C175,[7]Sheet1!$A:$B,2,FALSE)</f>
        <v>2</v>
      </c>
      <c r="F175">
        <f>VLOOKUP(B175,[8]Sheet1!$A:$C,2,FALSE)</f>
        <v>1</v>
      </c>
      <c r="G175">
        <f>VLOOKUP(B175,[8]Sheet1!$A:$C,3,FALSE)</f>
        <v>2</v>
      </c>
      <c r="H175">
        <f>VLOOKUP(C175,[8]Sheet1!$A:$C,2,FALSE)</f>
        <v>4</v>
      </c>
      <c r="I175">
        <f>VLOOKUP(C175,[8]Sheet1!$A:$C,3,FALSE)</f>
        <v>6</v>
      </c>
      <c r="M175">
        <v>-1</v>
      </c>
      <c r="N175" s="2">
        <f>VLOOKUP(B175,[9]Sheet1!$A:$B,2,FALSE)</f>
        <v>19</v>
      </c>
      <c r="O175">
        <f>VLOOKUP(C175,[9]Sheet1!$A:$B,2,FALSE)</f>
        <v>1</v>
      </c>
    </row>
    <row r="176" spans="1:15" ht="22.2" customHeight="1">
      <c r="A176" t="s">
        <v>238</v>
      </c>
      <c r="B176" t="s">
        <v>154</v>
      </c>
      <c r="C176" t="s">
        <v>232</v>
      </c>
      <c r="D176">
        <f>VLOOKUP(B176,[7]Sheet1!$A:$B,2,FALSE)</f>
        <v>24</v>
      </c>
      <c r="E176">
        <f>VLOOKUP(C176,[7]Sheet1!$A:$B,2,FALSE)</f>
        <v>38</v>
      </c>
      <c r="F176">
        <f>VLOOKUP(B176,[8]Sheet1!$A:$C,2,FALSE)</f>
        <v>0</v>
      </c>
      <c r="G176">
        <f>VLOOKUP(B176,[8]Sheet1!$A:$C,3,FALSE)</f>
        <v>1</v>
      </c>
      <c r="H176">
        <f>VLOOKUP(C176,[8]Sheet1!$A:$C,2,FALSE)</f>
        <v>0</v>
      </c>
      <c r="I176">
        <f>VLOOKUP(C176,[8]Sheet1!$A:$C,3,FALSE)</f>
        <v>0</v>
      </c>
      <c r="M176">
        <v>0</v>
      </c>
      <c r="N176" s="2">
        <f>VLOOKUP(B176,[9]Sheet1!$A:$B,2,FALSE)</f>
        <v>24</v>
      </c>
      <c r="O176">
        <f>VLOOKUP(C176,[9]Sheet1!$A:$B,2,FALSE)</f>
        <v>27</v>
      </c>
    </row>
    <row r="177" spans="1:15" ht="22.2" customHeight="1">
      <c r="A177" t="s">
        <v>239</v>
      </c>
      <c r="B177" t="s">
        <v>11</v>
      </c>
      <c r="C177" t="s">
        <v>39</v>
      </c>
      <c r="D177">
        <f>VLOOKUP(B177,[7]Sheet1!$A:$B,2,FALSE)</f>
        <v>16</v>
      </c>
      <c r="E177">
        <f>VLOOKUP(C177,[7]Sheet1!$A:$B,2,FALSE)</f>
        <v>47</v>
      </c>
      <c r="F177">
        <f>VLOOKUP(B177,[8]Sheet1!$A:$C,2,FALSE)</f>
        <v>1</v>
      </c>
      <c r="G177">
        <f>VLOOKUP(B177,[8]Sheet1!$A:$C,3,FALSE)</f>
        <v>2</v>
      </c>
      <c r="H177">
        <f>VLOOKUP(C177,[8]Sheet1!$A:$C,2,FALSE)</f>
        <v>0</v>
      </c>
      <c r="I177">
        <f>VLOOKUP(C177,[8]Sheet1!$A:$C,3,FALSE)</f>
        <v>1</v>
      </c>
      <c r="M177">
        <v>1</v>
      </c>
      <c r="N177" s="2">
        <f>VLOOKUP(B177,[9]Sheet1!$A:$B,2,FALSE)</f>
        <v>7</v>
      </c>
      <c r="O177">
        <f>VLOOKUP(C177,[9]Sheet1!$A:$B,2,FALSE)</f>
        <v>20</v>
      </c>
    </row>
    <row r="178" spans="1:15" ht="22.2" customHeight="1">
      <c r="A178" t="s">
        <v>240</v>
      </c>
      <c r="B178" t="s">
        <v>42</v>
      </c>
      <c r="C178" t="s">
        <v>139</v>
      </c>
      <c r="D178">
        <f>VLOOKUP(B178,[7]Sheet1!$A:$B,2,FALSE)</f>
        <v>14</v>
      </c>
      <c r="E178">
        <f>VLOOKUP(C178,[7]Sheet1!$A:$B,2,FALSE)</f>
        <v>32</v>
      </c>
      <c r="F178">
        <f>VLOOKUP(B178,[8]Sheet1!$A:$C,2,FALSE)</f>
        <v>1</v>
      </c>
      <c r="G178">
        <f>VLOOKUP(B178,[8]Sheet1!$A:$C,3,FALSE)</f>
        <v>1</v>
      </c>
      <c r="H178">
        <f>VLOOKUP(C178,[8]Sheet1!$A:$C,2,FALSE)</f>
        <v>1</v>
      </c>
      <c r="I178">
        <f>VLOOKUP(C178,[8]Sheet1!$A:$C,3,FALSE)</f>
        <v>2</v>
      </c>
      <c r="M178">
        <v>-1</v>
      </c>
      <c r="N178" s="2">
        <f>VLOOKUP(B178,[9]Sheet1!$A:$B,2,FALSE)</f>
        <v>15</v>
      </c>
      <c r="O178">
        <f>VLOOKUP(C178,[9]Sheet1!$A:$B,2,FALSE)</f>
        <v>16</v>
      </c>
    </row>
    <row r="179" spans="1:15" ht="22.2" customHeight="1">
      <c r="A179" t="s">
        <v>241</v>
      </c>
      <c r="B179" t="s">
        <v>123</v>
      </c>
      <c r="C179" t="s">
        <v>219</v>
      </c>
      <c r="D179">
        <f>VLOOKUP(B179,[7]Sheet1!$A:$B,2,FALSE)</f>
        <v>4</v>
      </c>
      <c r="E179">
        <f>VLOOKUP(C179,[7]Sheet1!$A:$B,2,FALSE)</f>
        <v>34</v>
      </c>
      <c r="F179">
        <f>VLOOKUP(B179,[8]Sheet1!$A:$C,2,FALSE)</f>
        <v>3</v>
      </c>
      <c r="G179">
        <f>VLOOKUP(B179,[8]Sheet1!$A:$C,3,FALSE)</f>
        <v>5</v>
      </c>
      <c r="H179">
        <f>VLOOKUP(C179,[8]Sheet1!$A:$C,2,FALSE)</f>
        <v>0</v>
      </c>
      <c r="I179">
        <f>VLOOKUP(C179,[8]Sheet1!$A:$C,3,FALSE)</f>
        <v>0</v>
      </c>
      <c r="M179">
        <v>1</v>
      </c>
      <c r="N179" s="2">
        <f>VLOOKUP(B179,[9]Sheet1!$A:$B,2,FALSE)</f>
        <v>4</v>
      </c>
      <c r="O179">
        <f>VLOOKUP(C179,[9]Sheet1!$A:$B,2,FALSE)</f>
        <v>26</v>
      </c>
    </row>
    <row r="180" spans="1:15" ht="22.2" customHeight="1">
      <c r="A180" t="s">
        <v>242</v>
      </c>
      <c r="B180" t="s">
        <v>29</v>
      </c>
      <c r="C180" t="s">
        <v>233</v>
      </c>
      <c r="D180">
        <f>VLOOKUP(B180,[7]Sheet1!$A:$B,2,FALSE)</f>
        <v>1</v>
      </c>
      <c r="E180">
        <f>VLOOKUP(C180,[7]Sheet1!$A:$B,2,FALSE)</f>
        <v>18</v>
      </c>
      <c r="F180">
        <f>VLOOKUP(B180,[8]Sheet1!$A:$C,2,FALSE)</f>
        <v>3</v>
      </c>
      <c r="G180">
        <f>VLOOKUP(B180,[8]Sheet1!$A:$C,3,FALSE)</f>
        <v>6</v>
      </c>
      <c r="H180">
        <f>VLOOKUP(C180,[8]Sheet1!$A:$C,2,FALSE)</f>
        <v>1</v>
      </c>
      <c r="I180">
        <f>VLOOKUP(C180,[8]Sheet1!$A:$C,3,FALSE)</f>
        <v>2</v>
      </c>
      <c r="M180">
        <v>1</v>
      </c>
      <c r="N180" s="2">
        <f>VLOOKUP(B180,[9]Sheet1!$A:$B,2,FALSE)</f>
        <v>2</v>
      </c>
      <c r="O180">
        <f>VLOOKUP(C180,[9]Sheet1!$A:$B,2,FALSE)</f>
        <v>19</v>
      </c>
    </row>
    <row r="181" spans="1:15" ht="22.2" customHeight="1">
      <c r="A181" t="s">
        <v>243</v>
      </c>
      <c r="B181" t="s">
        <v>63</v>
      </c>
      <c r="C181" t="s">
        <v>74</v>
      </c>
      <c r="D181">
        <f>VLOOKUP(B181,[7]Sheet1!$A:$B,2,FALSE)</f>
        <v>7</v>
      </c>
      <c r="E181">
        <f>VLOOKUP(C181,[7]Sheet1!$A:$B,2,FALSE)</f>
        <v>17</v>
      </c>
      <c r="F181">
        <f>VLOOKUP(B181,[8]Sheet1!$A:$C,2,FALSE)</f>
        <v>2</v>
      </c>
      <c r="G181">
        <f>VLOOKUP(B181,[8]Sheet1!$A:$C,3,FALSE)</f>
        <v>4</v>
      </c>
      <c r="H181">
        <f>VLOOKUP(C181,[8]Sheet1!$A:$C,2,FALSE)</f>
        <v>1</v>
      </c>
      <c r="I181">
        <f>VLOOKUP(C181,[8]Sheet1!$A:$C,3,FALSE)</f>
        <v>2</v>
      </c>
      <c r="M181">
        <v>1</v>
      </c>
      <c r="N181" s="2">
        <f>VLOOKUP(B181,[9]Sheet1!$A:$B,2,FALSE)</f>
        <v>15</v>
      </c>
      <c r="O181">
        <f>VLOOKUP(C181,[9]Sheet1!$A:$B,2,FALSE)</f>
        <v>14</v>
      </c>
    </row>
    <row r="182" spans="1:15" ht="22.2" customHeight="1">
      <c r="A182" t="s">
        <v>244</v>
      </c>
      <c r="B182" t="s">
        <v>56</v>
      </c>
      <c r="C182" t="s">
        <v>66</v>
      </c>
      <c r="D182">
        <f>VLOOKUP(B182,[7]Sheet1!$A:$B,2,FALSE)</f>
        <v>6</v>
      </c>
      <c r="E182">
        <f>VLOOKUP(C182,[7]Sheet1!$A:$B,2,FALSE)</f>
        <v>8</v>
      </c>
      <c r="F182">
        <f>VLOOKUP(B182,[8]Sheet1!$A:$C,2,FALSE)</f>
        <v>2</v>
      </c>
      <c r="G182">
        <f>VLOOKUP(B182,[8]Sheet1!$A:$C,3,FALSE)</f>
        <v>4</v>
      </c>
      <c r="H182">
        <f>VLOOKUP(C182,[8]Sheet1!$A:$C,2,FALSE)</f>
        <v>2</v>
      </c>
      <c r="I182">
        <f>VLOOKUP(C182,[8]Sheet1!$A:$C,3,FALSE)</f>
        <v>4</v>
      </c>
      <c r="M182">
        <v>1</v>
      </c>
      <c r="N182" s="2">
        <f>VLOOKUP(B182,[9]Sheet1!$A:$B,2,FALSE)</f>
        <v>11</v>
      </c>
      <c r="O182">
        <f>VLOOKUP(C182,[9]Sheet1!$A:$B,2,FALSE)</f>
        <v>12</v>
      </c>
    </row>
    <row r="183" spans="1:15" ht="22.2" customHeight="1">
      <c r="A183" t="s">
        <v>245</v>
      </c>
      <c r="B183" t="s">
        <v>19</v>
      </c>
      <c r="C183" t="s">
        <v>83</v>
      </c>
      <c r="D183">
        <f>VLOOKUP(B183,[7]Sheet1!$A:$B,2,FALSE)</f>
        <v>31</v>
      </c>
      <c r="E183">
        <f>VLOOKUP(C183,[7]Sheet1!$A:$B,2,FALSE)</f>
        <v>45</v>
      </c>
      <c r="F183">
        <f>VLOOKUP(B183,[8]Sheet1!$A:$C,2,FALSE)</f>
        <v>0</v>
      </c>
      <c r="G183">
        <f>VLOOKUP(B183,[8]Sheet1!$A:$C,3,FALSE)</f>
        <v>1</v>
      </c>
      <c r="H183">
        <f>VLOOKUP(C183,[8]Sheet1!$A:$C,2,FALSE)</f>
        <v>0</v>
      </c>
      <c r="I183">
        <f>VLOOKUP(C183,[8]Sheet1!$A:$C,3,FALSE)</f>
        <v>0</v>
      </c>
      <c r="M183">
        <v>0</v>
      </c>
      <c r="N183" s="2">
        <f>VLOOKUP(B183,[9]Sheet1!$A:$B,2,FALSE)</f>
        <v>18</v>
      </c>
      <c r="O183">
        <f>VLOOKUP(C183,[9]Sheet1!$A:$B,2,FALSE)</f>
        <v>25</v>
      </c>
    </row>
    <row r="184" spans="1:15" ht="22.2" customHeight="1">
      <c r="A184" t="s">
        <v>246</v>
      </c>
      <c r="B184" t="s">
        <v>22</v>
      </c>
      <c r="C184" t="s">
        <v>43</v>
      </c>
      <c r="D184">
        <f>VLOOKUP(B184,[7]Sheet1!$A:$B,2,FALSE)</f>
        <v>2</v>
      </c>
      <c r="E184">
        <f>VLOOKUP(C184,[7]Sheet1!$A:$B,2,FALSE)</f>
        <v>3</v>
      </c>
      <c r="F184">
        <f>VLOOKUP(B184,[8]Sheet1!$A:$C,2,FALSE)</f>
        <v>4</v>
      </c>
      <c r="G184">
        <f>VLOOKUP(B184,[8]Sheet1!$A:$C,3,FALSE)</f>
        <v>6</v>
      </c>
      <c r="H184">
        <f>VLOOKUP(C184,[8]Sheet1!$A:$C,2,FALSE)</f>
        <v>2</v>
      </c>
      <c r="I184">
        <f>VLOOKUP(C184,[8]Sheet1!$A:$C,3,FALSE)</f>
        <v>4</v>
      </c>
      <c r="M184">
        <v>1</v>
      </c>
      <c r="N184" s="2">
        <f>VLOOKUP(B184,[9]Sheet1!$A:$B,2,FALSE)</f>
        <v>1</v>
      </c>
      <c r="O184">
        <f>VLOOKUP(C184,[9]Sheet1!$A:$B,2,FALSE)</f>
        <v>8</v>
      </c>
    </row>
    <row r="185" spans="1:15" ht="22.2" customHeight="1">
      <c r="A185" t="s">
        <v>247</v>
      </c>
      <c r="B185" t="s">
        <v>11</v>
      </c>
      <c r="C185" t="s">
        <v>139</v>
      </c>
      <c r="D185">
        <f>VLOOKUP(B185,[7]Sheet1!$A:$B,2,FALSE)</f>
        <v>16</v>
      </c>
      <c r="E185">
        <f>VLOOKUP(C185,[7]Sheet1!$A:$B,2,FALSE)</f>
        <v>32</v>
      </c>
      <c r="F185">
        <f>VLOOKUP(B185,[8]Sheet1!$A:$C,2,FALSE)</f>
        <v>1</v>
      </c>
      <c r="G185">
        <f>VLOOKUP(B185,[8]Sheet1!$A:$C,3,FALSE)</f>
        <v>2</v>
      </c>
      <c r="H185">
        <f>VLOOKUP(C185,[8]Sheet1!$A:$C,2,FALSE)</f>
        <v>1</v>
      </c>
      <c r="I185">
        <f>VLOOKUP(C185,[8]Sheet1!$A:$C,3,FALSE)</f>
        <v>2</v>
      </c>
      <c r="M185">
        <v>0</v>
      </c>
      <c r="N185" s="2">
        <f>VLOOKUP(B185,[9]Sheet1!$A:$B,2,FALSE)</f>
        <v>7</v>
      </c>
      <c r="O185">
        <f>VLOOKUP(C185,[9]Sheet1!$A:$B,2,FALSE)</f>
        <v>16</v>
      </c>
    </row>
    <row r="186" spans="1:15" ht="22.2" customHeight="1">
      <c r="A186" t="s">
        <v>248</v>
      </c>
      <c r="B186" t="s">
        <v>123</v>
      </c>
      <c r="C186" t="s">
        <v>29</v>
      </c>
      <c r="D186">
        <f>VLOOKUP(B186,[7]Sheet1!$A:$B,2,FALSE)</f>
        <v>4</v>
      </c>
      <c r="E186">
        <f>VLOOKUP(C186,[7]Sheet1!$A:$B,2,FALSE)</f>
        <v>1</v>
      </c>
      <c r="F186">
        <f>VLOOKUP(B186,[8]Sheet1!$A:$C,2,FALSE)</f>
        <v>3</v>
      </c>
      <c r="G186">
        <f>VLOOKUP(B186,[8]Sheet1!$A:$C,3,FALSE)</f>
        <v>5</v>
      </c>
      <c r="H186">
        <f>VLOOKUP(C186,[8]Sheet1!$A:$C,2,FALSE)</f>
        <v>3</v>
      </c>
      <c r="I186">
        <f>VLOOKUP(C186,[8]Sheet1!$A:$C,3,FALSE)</f>
        <v>6</v>
      </c>
      <c r="M186">
        <v>1</v>
      </c>
      <c r="N186" s="2">
        <f>VLOOKUP(B186,[9]Sheet1!$A:$B,2,FALSE)</f>
        <v>4</v>
      </c>
      <c r="O186">
        <f>VLOOKUP(C186,[9]Sheet1!$A:$B,2,FALSE)</f>
        <v>2</v>
      </c>
    </row>
    <row r="187" spans="1:15" ht="22.2" customHeight="1">
      <c r="A187" t="s">
        <v>249</v>
      </c>
      <c r="B187" t="s">
        <v>63</v>
      </c>
      <c r="C187" t="s">
        <v>56</v>
      </c>
      <c r="D187">
        <f>VLOOKUP(B187,[7]Sheet1!$A:$B,2,FALSE)</f>
        <v>7</v>
      </c>
      <c r="E187">
        <f>VLOOKUP(C187,[7]Sheet1!$A:$B,2,FALSE)</f>
        <v>6</v>
      </c>
      <c r="F187">
        <f>VLOOKUP(B187,[8]Sheet1!$A:$C,2,FALSE)</f>
        <v>2</v>
      </c>
      <c r="G187">
        <f>VLOOKUP(B187,[8]Sheet1!$A:$C,3,FALSE)</f>
        <v>4</v>
      </c>
      <c r="H187">
        <f>VLOOKUP(C187,[8]Sheet1!$A:$C,2,FALSE)</f>
        <v>2</v>
      </c>
      <c r="I187">
        <f>VLOOKUP(C187,[8]Sheet1!$A:$C,3,FALSE)</f>
        <v>4</v>
      </c>
      <c r="M187">
        <v>-1</v>
      </c>
      <c r="N187" s="2">
        <f>VLOOKUP(B187,[9]Sheet1!$A:$B,2,FALSE)</f>
        <v>15</v>
      </c>
      <c r="O187">
        <f>VLOOKUP(C187,[9]Sheet1!$A:$B,2,FALSE)</f>
        <v>11</v>
      </c>
    </row>
    <row r="188" spans="1:15" ht="22.2" customHeight="1">
      <c r="A188" t="s">
        <v>250</v>
      </c>
      <c r="B188" t="s">
        <v>19</v>
      </c>
      <c r="C188" t="s">
        <v>22</v>
      </c>
      <c r="D188">
        <f>VLOOKUP(B188,[7]Sheet1!$A:$B,2,FALSE)</f>
        <v>31</v>
      </c>
      <c r="E188">
        <f>VLOOKUP(C188,[7]Sheet1!$A:$B,2,FALSE)</f>
        <v>2</v>
      </c>
      <c r="F188">
        <f>VLOOKUP(B188,[8]Sheet1!$A:$C,2,FALSE)</f>
        <v>0</v>
      </c>
      <c r="G188">
        <f>VLOOKUP(B188,[8]Sheet1!$A:$C,3,FALSE)</f>
        <v>1</v>
      </c>
      <c r="H188">
        <f>VLOOKUP(C188,[8]Sheet1!$A:$C,2,FALSE)</f>
        <v>4</v>
      </c>
      <c r="I188">
        <f>VLOOKUP(C188,[8]Sheet1!$A:$C,3,FALSE)</f>
        <v>6</v>
      </c>
      <c r="M188">
        <v>-1</v>
      </c>
      <c r="N188" s="2">
        <f>VLOOKUP(B188,[9]Sheet1!$A:$B,2,FALSE)</f>
        <v>18</v>
      </c>
      <c r="O188">
        <f>VLOOKUP(C188,[9]Sheet1!$A:$B,2,FALSE)</f>
        <v>1</v>
      </c>
    </row>
    <row r="189" spans="1:15" ht="22.2" customHeight="1">
      <c r="A189" t="s">
        <v>251</v>
      </c>
      <c r="B189" t="s">
        <v>11</v>
      </c>
      <c r="C189" t="s">
        <v>123</v>
      </c>
      <c r="D189">
        <f>VLOOKUP(B189,[7]Sheet1!$A:$B,2,FALSE)</f>
        <v>16</v>
      </c>
      <c r="E189">
        <f>VLOOKUP(C189,[7]Sheet1!$A:$B,2,FALSE)</f>
        <v>4</v>
      </c>
      <c r="F189">
        <f>VLOOKUP(B189,[8]Sheet1!$A:$C,2,FALSE)</f>
        <v>1</v>
      </c>
      <c r="G189">
        <f>VLOOKUP(B189,[8]Sheet1!$A:$C,3,FALSE)</f>
        <v>2</v>
      </c>
      <c r="H189">
        <f>VLOOKUP(C189,[8]Sheet1!$A:$C,2,FALSE)</f>
        <v>3</v>
      </c>
      <c r="I189">
        <f>VLOOKUP(C189,[8]Sheet1!$A:$C,3,FALSE)</f>
        <v>5</v>
      </c>
      <c r="M189">
        <v>-1</v>
      </c>
      <c r="N189" s="2">
        <f>VLOOKUP(B189,[9]Sheet1!$A:$B,2,FALSE)</f>
        <v>7</v>
      </c>
      <c r="O189">
        <f>VLOOKUP(C189,[9]Sheet1!$A:$B,2,FALSE)</f>
        <v>4</v>
      </c>
    </row>
    <row r="190" spans="1:15" ht="22.2" customHeight="1">
      <c r="A190" t="s">
        <v>252</v>
      </c>
      <c r="B190" t="s">
        <v>56</v>
      </c>
      <c r="C190" t="s">
        <v>22</v>
      </c>
      <c r="D190">
        <f>VLOOKUP(B190,[7]Sheet1!$A:$B,2,FALSE)</f>
        <v>6</v>
      </c>
      <c r="E190">
        <f>VLOOKUP(C190,[7]Sheet1!$A:$B,2,FALSE)</f>
        <v>2</v>
      </c>
      <c r="F190">
        <f>VLOOKUP(B190,[8]Sheet1!$A:$C,2,FALSE)</f>
        <v>2</v>
      </c>
      <c r="G190">
        <f>VLOOKUP(B190,[8]Sheet1!$A:$C,3,FALSE)</f>
        <v>4</v>
      </c>
      <c r="H190">
        <f>VLOOKUP(C190,[8]Sheet1!$A:$C,2,FALSE)</f>
        <v>4</v>
      </c>
      <c r="I190">
        <f>VLOOKUP(C190,[8]Sheet1!$A:$C,3,FALSE)</f>
        <v>6</v>
      </c>
      <c r="M190">
        <v>-1</v>
      </c>
      <c r="N190" s="2">
        <f>VLOOKUP(B190,[9]Sheet1!$A:$B,2,FALSE)</f>
        <v>11</v>
      </c>
      <c r="O190">
        <f>VLOOKUP(C190,[9]Sheet1!$A:$B,2,FALSE)</f>
        <v>1</v>
      </c>
    </row>
    <row r="191" spans="1:15" ht="22.2" customHeight="1">
      <c r="A191" t="s">
        <v>253</v>
      </c>
      <c r="B191" t="s">
        <v>123</v>
      </c>
      <c r="C191" t="s">
        <v>22</v>
      </c>
      <c r="D191">
        <f>VLOOKUP(B191,[7]Sheet1!$A:$B,2,FALSE)</f>
        <v>4</v>
      </c>
      <c r="E191">
        <f>VLOOKUP(C191,[7]Sheet1!$A:$B,2,FALSE)</f>
        <v>2</v>
      </c>
      <c r="F191">
        <f>VLOOKUP(B191,[8]Sheet1!$A:$C,2,FALSE)</f>
        <v>3</v>
      </c>
      <c r="G191">
        <f>VLOOKUP(B191,[8]Sheet1!$A:$C,3,FALSE)</f>
        <v>5</v>
      </c>
      <c r="H191">
        <f>VLOOKUP(C191,[8]Sheet1!$A:$C,2,FALSE)</f>
        <v>4</v>
      </c>
      <c r="I191">
        <f>VLOOKUP(C191,[8]Sheet1!$A:$C,3,FALSE)</f>
        <v>6</v>
      </c>
      <c r="M191">
        <v>-1</v>
      </c>
      <c r="N191" s="2">
        <f>VLOOKUP(B191,[9]Sheet1!$A:$B,2,FALSE)</f>
        <v>4</v>
      </c>
      <c r="O191">
        <f>VLOOKUP(C191,[9]Sheet1!$A:$B,2,FALSE)</f>
        <v>1</v>
      </c>
    </row>
    <row r="192" spans="1:15" ht="22.2" customHeight="1">
      <c r="A192" t="s">
        <v>254</v>
      </c>
      <c r="B192" t="s">
        <v>11</v>
      </c>
      <c r="C192" t="s">
        <v>56</v>
      </c>
      <c r="D192">
        <f>VLOOKUP(B192,[10]Sheet1!$A:$B,2,FALSE)</f>
        <v>7</v>
      </c>
      <c r="E192">
        <f>VLOOKUP(C192,[7]Sheet1!$A:$B,2,FALSE)</f>
        <v>6</v>
      </c>
      <c r="F192">
        <f>VLOOKUP(B192,[8]Sheet1!$A:$C,2,FALSE)</f>
        <v>1</v>
      </c>
      <c r="G192">
        <f>VLOOKUP(B192,[8]Sheet1!$A:$C,3,FALSE)</f>
        <v>2</v>
      </c>
      <c r="H192">
        <f>VLOOKUP(C192,[8]Sheet1!$A:$C,2,FALSE)</f>
        <v>2</v>
      </c>
      <c r="I192">
        <f>VLOOKUP(C192,[8]Sheet1!$A:$C,3,FALSE)</f>
        <v>4</v>
      </c>
      <c r="M192">
        <v>-1</v>
      </c>
      <c r="N192" s="2">
        <f>VLOOKUP(B192,[9]Sheet1!$A:$B,2,FALSE)</f>
        <v>7</v>
      </c>
      <c r="O192">
        <f>VLOOKUP(C192,[9]Sheet1!$A:$B,2,FALSE)</f>
        <v>11</v>
      </c>
    </row>
    <row r="193" spans="1:15" ht="22.2" customHeight="1">
      <c r="A193" t="s">
        <v>257</v>
      </c>
      <c r="B193" t="s">
        <v>29</v>
      </c>
      <c r="C193" t="s">
        <v>73</v>
      </c>
      <c r="D193">
        <f>VLOOKUP(B193,[10]Sheet1!$A:$B,2,FALSE)</f>
        <v>3</v>
      </c>
      <c r="E193">
        <f>VLOOKUP(C193,[10]Sheet1!$A:$B,2,FALSE)</f>
        <v>18</v>
      </c>
      <c r="F193">
        <f>VLOOKUP(B193,[11]Sheet1!$A:$C,2,FALSE)</f>
        <v>2</v>
      </c>
      <c r="G193">
        <f>VLOOKUP(B193,[11]Sheet1!$A:$C,3,FALSE)</f>
        <v>5</v>
      </c>
      <c r="H193">
        <f>VLOOKUP(C193,[11]Sheet1!$A:$C,2,FALSE)</f>
        <v>0</v>
      </c>
      <c r="I193">
        <f>VLOOKUP(C193,[11]Sheet1!$A:$C,3,FALSE)</f>
        <v>1</v>
      </c>
      <c r="M193">
        <v>1</v>
      </c>
      <c r="N193" s="2">
        <f>VLOOKUP(B193,[12]Sheet1!$A:$B,2,FALSE)</f>
        <v>5</v>
      </c>
      <c r="O193">
        <f>VLOOKUP(C193,[12]Sheet1!$A:$B,2,FALSE)</f>
        <v>18</v>
      </c>
    </row>
    <row r="194" spans="1:15" ht="22.2" customHeight="1">
      <c r="A194" t="s">
        <v>258</v>
      </c>
      <c r="B194" t="s">
        <v>233</v>
      </c>
      <c r="C194" t="s">
        <v>145</v>
      </c>
      <c r="D194">
        <f>VLOOKUP(B194,[10]Sheet1!$A:$B,2,FALSE)</f>
        <v>14</v>
      </c>
      <c r="E194">
        <f>VLOOKUP(C194,[10]Sheet1!$A:$B,2,FALSE)</f>
        <v>62</v>
      </c>
      <c r="F194">
        <f>VLOOKUP(B194,[11]Sheet1!$A:$C,2,FALSE)</f>
        <v>1</v>
      </c>
      <c r="G194">
        <f>VLOOKUP(B194,[11]Sheet1!$A:$C,3,FALSE)</f>
        <v>2</v>
      </c>
      <c r="H194">
        <f>VLOOKUP(C194,[11]Sheet1!$A:$C,2,FALSE)</f>
        <v>0</v>
      </c>
      <c r="I194">
        <f>VLOOKUP(C194,[11]Sheet1!$A:$C,3,FALSE)</f>
        <v>0</v>
      </c>
      <c r="M194">
        <v>1</v>
      </c>
      <c r="N194" s="2">
        <f>VLOOKUP(B194,[12]Sheet1!$A:$B,2,FALSE)</f>
        <v>14</v>
      </c>
      <c r="O194">
        <f>VLOOKUP(C194,[12]Sheet1!$A:$B,2,FALSE)</f>
        <v>32</v>
      </c>
    </row>
    <row r="195" spans="1:15" ht="22.2" customHeight="1">
      <c r="A195" t="s">
        <v>259</v>
      </c>
      <c r="B195" t="s">
        <v>74</v>
      </c>
      <c r="C195" t="s">
        <v>54</v>
      </c>
      <c r="D195">
        <f>VLOOKUP(B195,[10]Sheet1!$A:$B,2,FALSE)</f>
        <v>20</v>
      </c>
      <c r="E195">
        <f>VLOOKUP(C195,[10]Sheet1!$A:$B,2,FALSE)</f>
        <v>56</v>
      </c>
      <c r="F195">
        <f>VLOOKUP(B195,[11]Sheet1!$A:$C,2,FALSE)</f>
        <v>0</v>
      </c>
      <c r="G195">
        <f>VLOOKUP(B195,[11]Sheet1!$A:$C,3,FALSE)</f>
        <v>1</v>
      </c>
      <c r="H195">
        <f>VLOOKUP(C195,[11]Sheet1!$A:$C,2,FALSE)</f>
        <v>0</v>
      </c>
      <c r="I195">
        <f>VLOOKUP(C195,[11]Sheet1!$A:$C,3,FALSE)</f>
        <v>0</v>
      </c>
      <c r="M195">
        <v>1</v>
      </c>
      <c r="N195" s="2">
        <f>VLOOKUP(B195,[12]Sheet1!$A:$B,2,FALSE)</f>
        <v>15</v>
      </c>
      <c r="O195">
        <f>VLOOKUP(C195,[12]Sheet1!$A:$B,2,FALSE)</f>
        <v>31</v>
      </c>
    </row>
    <row r="196" spans="1:15" ht="22.2" customHeight="1">
      <c r="A196" t="s">
        <v>260</v>
      </c>
      <c r="B196" t="s">
        <v>22</v>
      </c>
      <c r="C196" t="s">
        <v>123</v>
      </c>
      <c r="D196">
        <f>VLOOKUP(B196,[10]Sheet1!$A:$B,2,FALSE)</f>
        <v>1</v>
      </c>
      <c r="E196">
        <f>VLOOKUP(C196,[10]Sheet1!$A:$B,2,FALSE)</f>
        <v>15</v>
      </c>
      <c r="F196">
        <f>VLOOKUP(B196,[11]Sheet1!$A:$C,2,FALSE)</f>
        <v>3</v>
      </c>
      <c r="G196">
        <f>VLOOKUP(B196,[11]Sheet1!$A:$C,3,FALSE)</f>
        <v>6</v>
      </c>
      <c r="H196">
        <f>VLOOKUP(C196,[11]Sheet1!$A:$C,2,FALSE)</f>
        <v>2</v>
      </c>
      <c r="I196">
        <f>VLOOKUP(C196,[11]Sheet1!$A:$C,3,FALSE)</f>
        <v>4</v>
      </c>
      <c r="M196">
        <v>-1</v>
      </c>
      <c r="N196" s="2">
        <f>VLOOKUP(B196,[12]Sheet1!$A:$B,2,FALSE)</f>
        <v>3</v>
      </c>
      <c r="O196">
        <f>VLOOKUP(C196,[12]Sheet1!$A:$B,2,FALSE)</f>
        <v>7</v>
      </c>
    </row>
    <row r="197" spans="1:15" ht="22.2" customHeight="1">
      <c r="A197" t="s">
        <v>261</v>
      </c>
      <c r="B197" t="s">
        <v>255</v>
      </c>
      <c r="C197" t="s">
        <v>191</v>
      </c>
      <c r="D197">
        <f>VLOOKUP(B197,[10]Sheet1!$A:$B,2,FALSE)</f>
        <v>8</v>
      </c>
      <c r="E197">
        <f>VLOOKUP(C197,[10]Sheet1!$A:$B,2,FALSE)</f>
        <v>12</v>
      </c>
      <c r="F197">
        <f>VLOOKUP(B197,[11]Sheet1!$A:$C,2,FALSE)</f>
        <v>1</v>
      </c>
      <c r="G197">
        <f>VLOOKUP(B197,[11]Sheet1!$A:$C,3,FALSE)</f>
        <v>2</v>
      </c>
      <c r="H197">
        <f>VLOOKUP(C197,[11]Sheet1!$A:$C,2,FALSE)</f>
        <v>0</v>
      </c>
      <c r="I197">
        <f>VLOOKUP(C197,[11]Sheet1!$A:$C,3,FALSE)</f>
        <v>1</v>
      </c>
      <c r="M197">
        <v>1</v>
      </c>
      <c r="N197" s="2">
        <f>VLOOKUP(B197,[12]Sheet1!$A:$B,2,FALSE)</f>
        <v>12</v>
      </c>
      <c r="O197">
        <f>VLOOKUP(C197,[12]Sheet1!$A:$B,2,FALSE)</f>
        <v>17</v>
      </c>
    </row>
    <row r="198" spans="1:15" ht="22.2" customHeight="1">
      <c r="A198" t="s">
        <v>262</v>
      </c>
      <c r="B198" t="s">
        <v>66</v>
      </c>
      <c r="C198" t="s">
        <v>76</v>
      </c>
      <c r="D198">
        <f>VLOOKUP(B198,[10]Sheet1!$A:$B,2,FALSE)</f>
        <v>10</v>
      </c>
      <c r="E198">
        <f>VLOOKUP(C198,[10]Sheet1!$A:$B,2,FALSE)</f>
        <v>9</v>
      </c>
      <c r="F198">
        <f>VLOOKUP(B198,[11]Sheet1!$A:$C,2,FALSE)</f>
        <v>1</v>
      </c>
      <c r="G198">
        <f>VLOOKUP(B198,[11]Sheet1!$A:$C,3,FALSE)</f>
        <v>2</v>
      </c>
      <c r="H198">
        <f>VLOOKUP(C198,[11]Sheet1!$A:$C,2,FALSE)</f>
        <v>1</v>
      </c>
      <c r="I198">
        <f>VLOOKUP(C198,[11]Sheet1!$A:$C,3,FALSE)</f>
        <v>2</v>
      </c>
      <c r="M198">
        <v>-1</v>
      </c>
      <c r="N198" s="2">
        <f>VLOOKUP(B198,[12]Sheet1!$A:$B,2,FALSE)</f>
        <v>10</v>
      </c>
      <c r="O198">
        <f>VLOOKUP(C198,[12]Sheet1!$A:$B,2,FALSE)</f>
        <v>2</v>
      </c>
    </row>
    <row r="199" spans="1:15" ht="22.2" customHeight="1">
      <c r="A199" t="s">
        <v>263</v>
      </c>
      <c r="B199" t="s">
        <v>120</v>
      </c>
      <c r="C199" t="s">
        <v>83</v>
      </c>
      <c r="D199">
        <f>VLOOKUP(B199,[10]Sheet1!$A:$B,2,FALSE)</f>
        <v>23</v>
      </c>
      <c r="E199">
        <f>VLOOKUP(C199,[10]Sheet1!$A:$B,2,FALSE)</f>
        <v>46</v>
      </c>
      <c r="F199">
        <f>VLOOKUP(B199,[11]Sheet1!$A:$C,2,FALSE)</f>
        <v>1</v>
      </c>
      <c r="G199">
        <f>VLOOKUP(B199,[11]Sheet1!$A:$C,3,FALSE)</f>
        <v>2</v>
      </c>
      <c r="H199">
        <f>VLOOKUP(C199,[11]Sheet1!$A:$C,2,FALSE)</f>
        <v>0</v>
      </c>
      <c r="I199">
        <f>VLOOKUP(C199,[11]Sheet1!$A:$C,3,FALSE)</f>
        <v>1</v>
      </c>
      <c r="M199">
        <v>1</v>
      </c>
      <c r="N199" s="2">
        <f>VLOOKUP(B199,[12]Sheet1!$A:$B,2,FALSE)</f>
        <v>25</v>
      </c>
      <c r="O199">
        <f>VLOOKUP(C199,[12]Sheet1!$A:$B,2,FALSE)</f>
        <v>27</v>
      </c>
    </row>
    <row r="200" spans="1:15" ht="22.2" customHeight="1">
      <c r="A200" t="s">
        <v>264</v>
      </c>
      <c r="B200" t="s">
        <v>11</v>
      </c>
      <c r="C200" t="s">
        <v>33</v>
      </c>
      <c r="D200">
        <f>VLOOKUP(B200,[10]Sheet1!$A:$B,2,FALSE)</f>
        <v>7</v>
      </c>
      <c r="E200">
        <f>VLOOKUP(C200,[10]Sheet1!$A:$B,2,FALSE)</f>
        <v>28</v>
      </c>
      <c r="F200">
        <f>VLOOKUP(B200,[11]Sheet1!$A:$C,2,FALSE)</f>
        <v>1</v>
      </c>
      <c r="G200">
        <f>VLOOKUP(B200,[11]Sheet1!$A:$C,3,FALSE)</f>
        <v>2</v>
      </c>
      <c r="H200">
        <f>VLOOKUP(C200,[11]Sheet1!$A:$C,2,FALSE)</f>
        <v>0</v>
      </c>
      <c r="I200">
        <f>VLOOKUP(C200,[11]Sheet1!$A:$C,3,FALSE)</f>
        <v>1</v>
      </c>
      <c r="M200">
        <v>-1</v>
      </c>
      <c r="N200" s="2">
        <f>VLOOKUP(B200,[12]Sheet1!$A:$B,2,FALSE)</f>
        <v>13</v>
      </c>
      <c r="O200">
        <f>VLOOKUP(C200,[12]Sheet1!$A:$B,2,FALSE)</f>
        <v>20</v>
      </c>
    </row>
    <row r="201" spans="1:15" ht="22.2" customHeight="1">
      <c r="A201" t="s">
        <v>265</v>
      </c>
      <c r="B201" t="s">
        <v>63</v>
      </c>
      <c r="C201" t="s">
        <v>256</v>
      </c>
      <c r="D201">
        <f>VLOOKUP(B201,[10]Sheet1!$A:$B,2,FALSE)</f>
        <v>5</v>
      </c>
      <c r="E201">
        <f>VLOOKUP(C201,[10]Sheet1!$A:$B,2,FALSE)</f>
        <v>21</v>
      </c>
      <c r="F201">
        <f>VLOOKUP(B201,[11]Sheet1!$A:$C,2,FALSE)</f>
        <v>2</v>
      </c>
      <c r="G201">
        <f>VLOOKUP(B201,[11]Sheet1!$A:$C,3,FALSE)</f>
        <v>4</v>
      </c>
      <c r="H201">
        <f>VLOOKUP(C201,[11]Sheet1!$A:$C,2,FALSE)</f>
        <v>0</v>
      </c>
      <c r="I201">
        <f>VLOOKUP(C201,[11]Sheet1!$A:$C,3,FALSE)</f>
        <v>1</v>
      </c>
      <c r="M201">
        <v>1</v>
      </c>
      <c r="N201" s="2">
        <f>VLOOKUP(B201,[12]Sheet1!$A:$B,2,FALSE)</f>
        <v>6</v>
      </c>
      <c r="O201">
        <f>VLOOKUP(C201,[12]Sheet1!$A:$B,2,FALSE)</f>
        <v>19</v>
      </c>
    </row>
    <row r="202" spans="1:15" ht="22.2" customHeight="1">
      <c r="A202" t="s">
        <v>266</v>
      </c>
      <c r="B202" t="s">
        <v>9</v>
      </c>
      <c r="C202" t="s">
        <v>232</v>
      </c>
      <c r="D202">
        <f>VLOOKUP(B202,[10]Sheet1!$A:$B,2,FALSE)</f>
        <v>17</v>
      </c>
      <c r="E202">
        <f>VLOOKUP(C202,[10]Sheet1!$A:$B,2,FALSE)</f>
        <v>33</v>
      </c>
      <c r="F202">
        <f>VLOOKUP(B202,[11]Sheet1!$A:$C,2,FALSE)</f>
        <v>1</v>
      </c>
      <c r="G202">
        <f>VLOOKUP(B202,[11]Sheet1!$A:$C,3,FALSE)</f>
        <v>3</v>
      </c>
      <c r="H202">
        <f>VLOOKUP(C202,[11]Sheet1!$A:$C,2,FALSE)</f>
        <v>0</v>
      </c>
      <c r="I202">
        <f>VLOOKUP(C202,[11]Sheet1!$A:$C,3,FALSE)</f>
        <v>0</v>
      </c>
      <c r="M202">
        <v>1</v>
      </c>
      <c r="N202" s="2">
        <f>VLOOKUP(B202,[12]Sheet1!$A:$B,2,FALSE)</f>
        <v>4</v>
      </c>
      <c r="O202">
        <f>VLOOKUP(C202,[12]Sheet1!$A:$B,2,FALSE)</f>
        <v>30</v>
      </c>
    </row>
    <row r="203" spans="1:15" ht="22.2" customHeight="1">
      <c r="A203" t="s">
        <v>267</v>
      </c>
      <c r="B203" t="s">
        <v>154</v>
      </c>
      <c r="C203" t="s">
        <v>77</v>
      </c>
      <c r="D203">
        <f>VLOOKUP(B203,[10]Sheet1!$A:$B,2,FALSE)</f>
        <v>6</v>
      </c>
      <c r="E203">
        <f>VLOOKUP(C203,[10]Sheet1!$A:$B,2,FALSE)</f>
        <v>26</v>
      </c>
      <c r="F203">
        <f>VLOOKUP(B203,[11]Sheet1!$A:$C,2,FALSE)</f>
        <v>0</v>
      </c>
      <c r="G203">
        <f>VLOOKUP(B203,[11]Sheet1!$A:$C,3,FALSE)</f>
        <v>1</v>
      </c>
      <c r="H203">
        <f>VLOOKUP(C203,[11]Sheet1!$A:$C,2,FALSE)</f>
        <v>0</v>
      </c>
      <c r="I203">
        <f>VLOOKUP(C203,[11]Sheet1!$A:$C,3,FALSE)</f>
        <v>1</v>
      </c>
      <c r="M203">
        <v>1</v>
      </c>
      <c r="N203" s="2">
        <f>VLOOKUP(B203,[12]Sheet1!$A:$B,2,FALSE)</f>
        <v>11</v>
      </c>
      <c r="O203">
        <f>VLOOKUP(C203,[12]Sheet1!$A:$B,2,FALSE)</f>
        <v>22</v>
      </c>
    </row>
    <row r="204" spans="1:15" ht="22.2" customHeight="1">
      <c r="A204" t="s">
        <v>268</v>
      </c>
      <c r="B204" t="s">
        <v>56</v>
      </c>
      <c r="C204" t="s">
        <v>43</v>
      </c>
      <c r="D204">
        <f>VLOOKUP(B204,[10]Sheet1!$A:$B,2,FALSE)</f>
        <v>2</v>
      </c>
      <c r="E204">
        <f>VLOOKUP(C204,[10]Sheet1!$A:$B,2,FALSE)</f>
        <v>4</v>
      </c>
      <c r="F204">
        <f>VLOOKUP(B204,[11]Sheet1!$A:$C,2,FALSE)</f>
        <v>2</v>
      </c>
      <c r="G204">
        <f>VLOOKUP(B204,[11]Sheet1!$A:$C,3,FALSE)</f>
        <v>4</v>
      </c>
      <c r="H204">
        <f>VLOOKUP(C204,[11]Sheet1!$A:$C,2,FALSE)</f>
        <v>1</v>
      </c>
      <c r="I204">
        <f>VLOOKUP(C204,[11]Sheet1!$A:$C,3,FALSE)</f>
        <v>3</v>
      </c>
      <c r="M204">
        <v>1</v>
      </c>
      <c r="N204" s="2">
        <f>VLOOKUP(B204,[12]Sheet1!$A:$B,2,FALSE)</f>
        <v>1</v>
      </c>
      <c r="O204">
        <f>VLOOKUP(C204,[12]Sheet1!$A:$B,2,FALSE)</f>
        <v>8</v>
      </c>
    </row>
    <row r="205" spans="1:15" ht="22.2" customHeight="1">
      <c r="A205" t="s">
        <v>269</v>
      </c>
      <c r="B205" t="s">
        <v>139</v>
      </c>
      <c r="C205" t="s">
        <v>45</v>
      </c>
      <c r="D205">
        <f>VLOOKUP(B205,[10]Sheet1!$A:$B,2,FALSE)</f>
        <v>37</v>
      </c>
      <c r="E205">
        <f>VLOOKUP(C205,[10]Sheet1!$A:$B,2,FALSE)</f>
        <v>13</v>
      </c>
      <c r="F205">
        <f>VLOOKUP(B205,[11]Sheet1!$A:$C,2,FALSE)</f>
        <v>0</v>
      </c>
      <c r="G205">
        <f>VLOOKUP(B205,[11]Sheet1!$A:$C,3,FALSE)</f>
        <v>1</v>
      </c>
      <c r="H205">
        <f>VLOOKUP(C205,[11]Sheet1!$A:$C,2,FALSE)</f>
        <v>0</v>
      </c>
      <c r="I205">
        <f>VLOOKUP(C205,[11]Sheet1!$A:$C,3,FALSE)</f>
        <v>1</v>
      </c>
      <c r="M205">
        <v>-1</v>
      </c>
      <c r="N205" s="2">
        <f>VLOOKUP(B205,[12]Sheet1!$A:$B,2,FALSE)</f>
        <v>24</v>
      </c>
      <c r="O205">
        <f>VLOOKUP(C205,[12]Sheet1!$A:$B,2,FALSE)</f>
        <v>16</v>
      </c>
    </row>
    <row r="206" spans="1:15" ht="22.2" customHeight="1">
      <c r="A206" t="s">
        <v>270</v>
      </c>
      <c r="B206" t="s">
        <v>129</v>
      </c>
      <c r="C206" t="s">
        <v>64</v>
      </c>
      <c r="D206">
        <f>VLOOKUP(B206,[10]Sheet1!$A:$B,2,FALSE)</f>
        <v>43</v>
      </c>
      <c r="E206">
        <f>VLOOKUP(C206,[10]Sheet1!$A:$B,2,FALSE)</f>
        <v>44</v>
      </c>
      <c r="F206">
        <f>VLOOKUP(B206,[11]Sheet1!$A:$C,2,FALSE)</f>
        <v>0</v>
      </c>
      <c r="G206">
        <f>VLOOKUP(B206,[11]Sheet1!$A:$C,3,FALSE)</f>
        <v>0</v>
      </c>
      <c r="H206">
        <f>VLOOKUP(C206,[11]Sheet1!$A:$C,2,FALSE)</f>
        <v>0</v>
      </c>
      <c r="I206">
        <f>VLOOKUP(C206,[11]Sheet1!$A:$C,3,FALSE)</f>
        <v>1</v>
      </c>
      <c r="M206">
        <v>0</v>
      </c>
      <c r="N206" s="2">
        <f>VLOOKUP(B206,[12]Sheet1!$A:$B,2,FALSE)</f>
        <v>29</v>
      </c>
      <c r="O206">
        <f>VLOOKUP(C206,[12]Sheet1!$A:$B,2,FALSE)</f>
        <v>23</v>
      </c>
    </row>
    <row r="207" spans="1:15" ht="22.2" customHeight="1">
      <c r="A207" t="s">
        <v>271</v>
      </c>
      <c r="B207" t="s">
        <v>84</v>
      </c>
      <c r="C207" t="s">
        <v>199</v>
      </c>
      <c r="D207">
        <f>VLOOKUP(B207,[10]Sheet1!$A:$B,2,FALSE)</f>
        <v>11</v>
      </c>
      <c r="E207">
        <f>VLOOKUP(C207,[10]Sheet1!$A:$B,2,FALSE)</f>
        <v>22</v>
      </c>
      <c r="F207">
        <f>VLOOKUP(B207,[11]Sheet1!$A:$C,2,FALSE)</f>
        <v>1</v>
      </c>
      <c r="G207">
        <f>VLOOKUP(B207,[11]Sheet1!$A:$C,3,FALSE)</f>
        <v>3</v>
      </c>
      <c r="H207">
        <f>VLOOKUP(C207,[11]Sheet1!$A:$C,2,FALSE)</f>
        <v>0</v>
      </c>
      <c r="I207">
        <f>VLOOKUP(C207,[11]Sheet1!$A:$C,3,FALSE)</f>
        <v>1</v>
      </c>
      <c r="M207">
        <v>1</v>
      </c>
      <c r="N207" s="2">
        <f>VLOOKUP(B207,[12]Sheet1!$A:$B,2,FALSE)</f>
        <v>9</v>
      </c>
      <c r="O207">
        <f>VLOOKUP(C207,[12]Sheet1!$A:$B,2,FALSE)</f>
        <v>26</v>
      </c>
    </row>
    <row r="208" spans="1:15" ht="22.2" customHeight="1">
      <c r="A208" t="s">
        <v>272</v>
      </c>
      <c r="B208" t="s">
        <v>29</v>
      </c>
      <c r="C208" t="s">
        <v>74</v>
      </c>
      <c r="D208">
        <f>VLOOKUP(B208,[10]Sheet1!$A:$B,2,FALSE)</f>
        <v>3</v>
      </c>
      <c r="E208">
        <f>VLOOKUP(C208,[10]Sheet1!$A:$B,2,FALSE)</f>
        <v>20</v>
      </c>
      <c r="F208">
        <f>VLOOKUP(B208,[11]Sheet1!$A:$C,2,FALSE)</f>
        <v>2</v>
      </c>
      <c r="G208">
        <f>VLOOKUP(B208,[11]Sheet1!$A:$C,3,FALSE)</f>
        <v>5</v>
      </c>
      <c r="H208">
        <f>VLOOKUP(C208,[11]Sheet1!$A:$C,2,FALSE)</f>
        <v>0</v>
      </c>
      <c r="I208">
        <f>VLOOKUP(C208,[11]Sheet1!$A:$C,3,FALSE)</f>
        <v>1</v>
      </c>
      <c r="M208">
        <v>0</v>
      </c>
      <c r="N208" s="2">
        <f>VLOOKUP(B208,[12]Sheet1!$A:$B,2,FALSE)</f>
        <v>5</v>
      </c>
      <c r="O208">
        <f>VLOOKUP(C208,[12]Sheet1!$A:$B,2,FALSE)</f>
        <v>15</v>
      </c>
    </row>
    <row r="209" spans="1:15" ht="22.2" customHeight="1">
      <c r="A209" t="s">
        <v>273</v>
      </c>
      <c r="B209" t="s">
        <v>86</v>
      </c>
      <c r="C209" t="s">
        <v>39</v>
      </c>
      <c r="D209">
        <f>VLOOKUP(B209,[10]Sheet1!$A:$B,2,FALSE)</f>
        <v>19</v>
      </c>
      <c r="E209">
        <f>VLOOKUP(C209,[10]Sheet1!$A:$B,2,FALSE)</f>
        <v>57</v>
      </c>
      <c r="F209">
        <f>VLOOKUP(B209,[11]Sheet1!$A:$C,2,FALSE)</f>
        <v>0</v>
      </c>
      <c r="G209">
        <f>VLOOKUP(B209,[11]Sheet1!$A:$C,3,FALSE)</f>
        <v>1</v>
      </c>
      <c r="H209">
        <f>VLOOKUP(C209,[11]Sheet1!$A:$C,2,FALSE)</f>
        <v>0</v>
      </c>
      <c r="I209">
        <f>VLOOKUP(C209,[11]Sheet1!$A:$C,3,FALSE)</f>
        <v>0</v>
      </c>
      <c r="M209">
        <v>0</v>
      </c>
      <c r="N209" s="2">
        <f>VLOOKUP(B209,[12]Sheet1!$A:$B,2,FALSE)</f>
        <v>21</v>
      </c>
      <c r="O209">
        <f>VLOOKUP(C209,[12]Sheet1!$A:$B,2,FALSE)</f>
        <v>28</v>
      </c>
    </row>
    <row r="210" spans="1:15" ht="22.2" customHeight="1">
      <c r="A210" t="s">
        <v>274</v>
      </c>
      <c r="B210" t="s">
        <v>145</v>
      </c>
      <c r="C210" t="s">
        <v>123</v>
      </c>
      <c r="D210">
        <f>VLOOKUP(B210,[10]Sheet1!$A:$B,2,FALSE)</f>
        <v>62</v>
      </c>
      <c r="E210">
        <f>VLOOKUP(C210,[10]Sheet1!$A:$B,2,FALSE)</f>
        <v>15</v>
      </c>
      <c r="F210">
        <f>VLOOKUP(B210,[11]Sheet1!$A:$C,2,FALSE)</f>
        <v>0</v>
      </c>
      <c r="G210">
        <f>VLOOKUP(B210,[11]Sheet1!$A:$C,3,FALSE)</f>
        <v>0</v>
      </c>
      <c r="H210">
        <f>VLOOKUP(C210,[11]Sheet1!$A:$C,2,FALSE)</f>
        <v>2</v>
      </c>
      <c r="I210">
        <f>VLOOKUP(C210,[11]Sheet1!$A:$C,3,FALSE)</f>
        <v>4</v>
      </c>
      <c r="M210">
        <v>-1</v>
      </c>
      <c r="N210" s="2">
        <f>VLOOKUP(B210,[12]Sheet1!$A:$B,2,FALSE)</f>
        <v>32</v>
      </c>
      <c r="O210">
        <f>VLOOKUP(C210,[12]Sheet1!$A:$B,2,FALSE)</f>
        <v>7</v>
      </c>
    </row>
    <row r="211" spans="1:15" ht="22.2" customHeight="1">
      <c r="A211" t="s">
        <v>275</v>
      </c>
      <c r="B211" t="s">
        <v>54</v>
      </c>
      <c r="C211" t="s">
        <v>73</v>
      </c>
      <c r="D211">
        <f>VLOOKUP(B211,[10]Sheet1!$A:$B,2,FALSE)</f>
        <v>56</v>
      </c>
      <c r="E211">
        <f>VLOOKUP(C211,[10]Sheet1!$A:$B,2,FALSE)</f>
        <v>18</v>
      </c>
      <c r="F211">
        <f>VLOOKUP(B211,[11]Sheet1!$A:$C,2,FALSE)</f>
        <v>0</v>
      </c>
      <c r="G211">
        <f>VLOOKUP(B211,[11]Sheet1!$A:$C,3,FALSE)</f>
        <v>0</v>
      </c>
      <c r="H211">
        <f>VLOOKUP(C211,[11]Sheet1!$A:$C,2,FALSE)</f>
        <v>0</v>
      </c>
      <c r="I211">
        <f>VLOOKUP(C211,[11]Sheet1!$A:$C,3,FALSE)</f>
        <v>1</v>
      </c>
      <c r="M211">
        <v>-1</v>
      </c>
      <c r="N211" s="2">
        <f>VLOOKUP(B211,[12]Sheet1!$A:$B,2,FALSE)</f>
        <v>31</v>
      </c>
      <c r="O211">
        <f>VLOOKUP(C211,[12]Sheet1!$A:$B,2,FALSE)</f>
        <v>18</v>
      </c>
    </row>
    <row r="212" spans="1:15" ht="22.2" customHeight="1">
      <c r="A212" t="s">
        <v>276</v>
      </c>
      <c r="B212" t="s">
        <v>22</v>
      </c>
      <c r="C212" t="s">
        <v>233</v>
      </c>
      <c r="D212">
        <f>VLOOKUP(B212,[10]Sheet1!$A:$B,2,FALSE)</f>
        <v>1</v>
      </c>
      <c r="E212">
        <f>VLOOKUP(C212,[10]Sheet1!$A:$B,2,FALSE)</f>
        <v>14</v>
      </c>
      <c r="F212">
        <f>VLOOKUP(B212,[11]Sheet1!$A:$C,2,FALSE)</f>
        <v>3</v>
      </c>
      <c r="G212">
        <f>VLOOKUP(B212,[11]Sheet1!$A:$C,3,FALSE)</f>
        <v>6</v>
      </c>
      <c r="H212">
        <f>VLOOKUP(C212,[11]Sheet1!$A:$C,2,FALSE)</f>
        <v>1</v>
      </c>
      <c r="I212">
        <f>VLOOKUP(C212,[11]Sheet1!$A:$C,3,FALSE)</f>
        <v>2</v>
      </c>
      <c r="M212">
        <v>-1</v>
      </c>
      <c r="N212" s="2">
        <f>VLOOKUP(B212,[12]Sheet1!$A:$B,2,FALSE)</f>
        <v>3</v>
      </c>
      <c r="O212">
        <f>VLOOKUP(C212,[12]Sheet1!$A:$B,2,FALSE)</f>
        <v>14</v>
      </c>
    </row>
    <row r="213" spans="1:15" ht="22.2" customHeight="1">
      <c r="A213" t="s">
        <v>277</v>
      </c>
      <c r="B213" t="s">
        <v>255</v>
      </c>
      <c r="C213" t="s">
        <v>120</v>
      </c>
      <c r="D213">
        <f>VLOOKUP(B213,[10]Sheet1!$A:$B,2,FALSE)</f>
        <v>8</v>
      </c>
      <c r="E213">
        <f>VLOOKUP(C213,[10]Sheet1!$A:$B,2,FALSE)</f>
        <v>23</v>
      </c>
      <c r="F213">
        <f>VLOOKUP(B213,[11]Sheet1!$A:$C,2,FALSE)</f>
        <v>1</v>
      </c>
      <c r="G213">
        <f>VLOOKUP(B213,[11]Sheet1!$A:$C,3,FALSE)</f>
        <v>2</v>
      </c>
      <c r="H213">
        <f>VLOOKUP(C213,[11]Sheet1!$A:$C,2,FALSE)</f>
        <v>1</v>
      </c>
      <c r="I213">
        <f>VLOOKUP(C213,[11]Sheet1!$A:$C,3,FALSE)</f>
        <v>2</v>
      </c>
      <c r="M213">
        <v>1</v>
      </c>
      <c r="N213" s="2">
        <f>VLOOKUP(B213,[12]Sheet1!$A:$B,2,FALSE)</f>
        <v>12</v>
      </c>
      <c r="O213">
        <f>VLOOKUP(C213,[12]Sheet1!$A:$B,2,FALSE)</f>
        <v>25</v>
      </c>
    </row>
    <row r="214" spans="1:15" ht="22.2" customHeight="1">
      <c r="A214" t="s">
        <v>278</v>
      </c>
      <c r="B214" t="s">
        <v>83</v>
      </c>
      <c r="C214" t="s">
        <v>191</v>
      </c>
      <c r="D214">
        <f>VLOOKUP(B214,[10]Sheet1!$A:$B,2,FALSE)</f>
        <v>46</v>
      </c>
      <c r="E214">
        <f>VLOOKUP(C214,[10]Sheet1!$A:$B,2,FALSE)</f>
        <v>12</v>
      </c>
      <c r="F214">
        <f>VLOOKUP(B214,[11]Sheet1!$A:$C,2,FALSE)</f>
        <v>0</v>
      </c>
      <c r="G214">
        <f>VLOOKUP(B214,[11]Sheet1!$A:$C,3,FALSE)</f>
        <v>1</v>
      </c>
      <c r="H214">
        <f>VLOOKUP(C214,[11]Sheet1!$A:$C,2,FALSE)</f>
        <v>0</v>
      </c>
      <c r="I214">
        <f>VLOOKUP(C214,[11]Sheet1!$A:$C,3,FALSE)</f>
        <v>1</v>
      </c>
      <c r="M214">
        <v>0</v>
      </c>
      <c r="N214" s="2">
        <f>VLOOKUP(B214,[12]Sheet1!$A:$B,2,FALSE)</f>
        <v>27</v>
      </c>
      <c r="O214">
        <f>VLOOKUP(C214,[12]Sheet1!$A:$B,2,FALSE)</f>
        <v>17</v>
      </c>
    </row>
    <row r="215" spans="1:15" ht="22.2" customHeight="1">
      <c r="A215" t="s">
        <v>279</v>
      </c>
      <c r="B215" t="s">
        <v>11</v>
      </c>
      <c r="C215" t="s">
        <v>66</v>
      </c>
      <c r="D215">
        <f>VLOOKUP(B215,[10]Sheet1!$A:$B,2,FALSE)</f>
        <v>7</v>
      </c>
      <c r="E215">
        <f>VLOOKUP(C215,[10]Sheet1!$A:$B,2,FALSE)</f>
        <v>10</v>
      </c>
      <c r="F215">
        <f>VLOOKUP(B215,[11]Sheet1!$A:$C,2,FALSE)</f>
        <v>1</v>
      </c>
      <c r="G215">
        <f>VLOOKUP(B215,[11]Sheet1!$A:$C,3,FALSE)</f>
        <v>2</v>
      </c>
      <c r="H215">
        <f>VLOOKUP(C215,[11]Sheet1!$A:$C,2,FALSE)</f>
        <v>1</v>
      </c>
      <c r="I215">
        <f>VLOOKUP(C215,[11]Sheet1!$A:$C,3,FALSE)</f>
        <v>2</v>
      </c>
      <c r="M215">
        <v>1</v>
      </c>
      <c r="N215" s="2">
        <f>VLOOKUP(B215,[12]Sheet1!$A:$B,2,FALSE)</f>
        <v>13</v>
      </c>
      <c r="O215">
        <f>VLOOKUP(C215,[12]Sheet1!$A:$B,2,FALSE)</f>
        <v>10</v>
      </c>
    </row>
    <row r="216" spans="1:15" ht="22.2" customHeight="1">
      <c r="A216" t="s">
        <v>280</v>
      </c>
      <c r="B216" t="s">
        <v>232</v>
      </c>
      <c r="C216" t="s">
        <v>77</v>
      </c>
      <c r="D216">
        <f>VLOOKUP(B216,[10]Sheet1!$A:$B,2,FALSE)</f>
        <v>33</v>
      </c>
      <c r="E216">
        <f>VLOOKUP(C216,[10]Sheet1!$A:$B,2,FALSE)</f>
        <v>26</v>
      </c>
      <c r="F216">
        <f>VLOOKUP(B216,[11]Sheet1!$A:$C,2,FALSE)</f>
        <v>0</v>
      </c>
      <c r="G216">
        <f>VLOOKUP(B216,[11]Sheet1!$A:$C,3,FALSE)</f>
        <v>0</v>
      </c>
      <c r="H216">
        <f>VLOOKUP(C216,[11]Sheet1!$A:$C,2,FALSE)</f>
        <v>0</v>
      </c>
      <c r="I216">
        <f>VLOOKUP(C216,[11]Sheet1!$A:$C,3,FALSE)</f>
        <v>1</v>
      </c>
      <c r="M216">
        <v>-1</v>
      </c>
      <c r="N216" s="2">
        <f>VLOOKUP(B216,[12]Sheet1!$A:$B,2,FALSE)</f>
        <v>30</v>
      </c>
      <c r="O216">
        <f>VLOOKUP(C216,[12]Sheet1!$A:$B,2,FALSE)</f>
        <v>22</v>
      </c>
    </row>
    <row r="217" spans="1:15" ht="22.2" customHeight="1">
      <c r="A217" t="s">
        <v>281</v>
      </c>
      <c r="B217" t="s">
        <v>76</v>
      </c>
      <c r="C217" t="s">
        <v>33</v>
      </c>
      <c r="D217">
        <f>VLOOKUP(B217,[10]Sheet1!$A:$B,2,FALSE)</f>
        <v>9</v>
      </c>
      <c r="E217">
        <f>VLOOKUP(C217,[10]Sheet1!$A:$B,2,FALSE)</f>
        <v>28</v>
      </c>
      <c r="F217">
        <f>VLOOKUP(B217,[11]Sheet1!$A:$C,2,FALSE)</f>
        <v>1</v>
      </c>
      <c r="G217">
        <f>VLOOKUP(B217,[11]Sheet1!$A:$C,3,FALSE)</f>
        <v>2</v>
      </c>
      <c r="H217">
        <f>VLOOKUP(C217,[11]Sheet1!$A:$C,2,FALSE)</f>
        <v>0</v>
      </c>
      <c r="I217">
        <f>VLOOKUP(C217,[11]Sheet1!$A:$C,3,FALSE)</f>
        <v>1</v>
      </c>
      <c r="M217">
        <v>-1</v>
      </c>
      <c r="N217" s="2">
        <f>VLOOKUP(B217,[12]Sheet1!$A:$B,2,FALSE)</f>
        <v>2</v>
      </c>
      <c r="O217">
        <f>VLOOKUP(C217,[12]Sheet1!$A:$B,2,FALSE)</f>
        <v>20</v>
      </c>
    </row>
    <row r="218" spans="1:15" ht="22.2" customHeight="1">
      <c r="A218" t="s">
        <v>282</v>
      </c>
      <c r="B218" t="s">
        <v>154</v>
      </c>
      <c r="C218" t="s">
        <v>9</v>
      </c>
      <c r="D218">
        <f>VLOOKUP(B218,[10]Sheet1!$A:$B,2,FALSE)</f>
        <v>6</v>
      </c>
      <c r="E218">
        <f>VLOOKUP(C218,[10]Sheet1!$A:$B,2,FALSE)</f>
        <v>17</v>
      </c>
      <c r="F218">
        <f>VLOOKUP(B218,[11]Sheet1!$A:$C,2,FALSE)</f>
        <v>0</v>
      </c>
      <c r="G218">
        <f>VLOOKUP(B218,[11]Sheet1!$A:$C,3,FALSE)</f>
        <v>1</v>
      </c>
      <c r="H218">
        <f>VLOOKUP(C218,[11]Sheet1!$A:$C,2,FALSE)</f>
        <v>1</v>
      </c>
      <c r="I218">
        <f>VLOOKUP(C218,[11]Sheet1!$A:$C,3,FALSE)</f>
        <v>3</v>
      </c>
      <c r="M218">
        <v>-1</v>
      </c>
      <c r="N218" s="2">
        <f>VLOOKUP(B218,[12]Sheet1!$A:$B,2,FALSE)</f>
        <v>11</v>
      </c>
      <c r="O218">
        <f>VLOOKUP(C218,[12]Sheet1!$A:$B,2,FALSE)</f>
        <v>4</v>
      </c>
    </row>
    <row r="219" spans="1:15" ht="22.2" customHeight="1">
      <c r="A219" t="s">
        <v>283</v>
      </c>
      <c r="B219" t="s">
        <v>63</v>
      </c>
      <c r="C219" t="s">
        <v>129</v>
      </c>
      <c r="D219">
        <f>VLOOKUP(B219,[10]Sheet1!$A:$B,2,FALSE)</f>
        <v>5</v>
      </c>
      <c r="E219">
        <f>VLOOKUP(C219,[10]Sheet1!$A:$B,2,FALSE)</f>
        <v>43</v>
      </c>
      <c r="F219">
        <f>VLOOKUP(B219,[11]Sheet1!$A:$C,2,FALSE)</f>
        <v>2</v>
      </c>
      <c r="G219">
        <f>VLOOKUP(B219,[11]Sheet1!$A:$C,3,FALSE)</f>
        <v>4</v>
      </c>
      <c r="H219">
        <f>VLOOKUP(C219,[11]Sheet1!$A:$C,2,FALSE)</f>
        <v>0</v>
      </c>
      <c r="I219">
        <f>VLOOKUP(C219,[11]Sheet1!$A:$C,3,FALSE)</f>
        <v>0</v>
      </c>
      <c r="M219">
        <v>1</v>
      </c>
      <c r="N219" s="2">
        <f>VLOOKUP(B219,[12]Sheet1!$A:$B,2,FALSE)</f>
        <v>6</v>
      </c>
      <c r="O219">
        <f>VLOOKUP(C219,[12]Sheet1!$A:$B,2,FALSE)</f>
        <v>29</v>
      </c>
    </row>
    <row r="220" spans="1:15" ht="22.2" customHeight="1">
      <c r="A220" t="s">
        <v>284</v>
      </c>
      <c r="B220" t="s">
        <v>56</v>
      </c>
      <c r="C220" t="s">
        <v>139</v>
      </c>
      <c r="D220">
        <f>VLOOKUP(B220,[10]Sheet1!$A:$B,2,FALSE)</f>
        <v>2</v>
      </c>
      <c r="E220">
        <f>VLOOKUP(C220,[10]Sheet1!$A:$B,2,FALSE)</f>
        <v>37</v>
      </c>
      <c r="F220">
        <f>VLOOKUP(B220,[11]Sheet1!$A:$C,2,FALSE)</f>
        <v>2</v>
      </c>
      <c r="G220">
        <f>VLOOKUP(B220,[11]Sheet1!$A:$C,3,FALSE)</f>
        <v>4</v>
      </c>
      <c r="H220">
        <f>VLOOKUP(C220,[11]Sheet1!$A:$C,2,FALSE)</f>
        <v>0</v>
      </c>
      <c r="I220">
        <f>VLOOKUP(C220,[11]Sheet1!$A:$C,3,FALSE)</f>
        <v>1</v>
      </c>
      <c r="M220">
        <v>0</v>
      </c>
      <c r="N220" s="2">
        <f>VLOOKUP(B220,[12]Sheet1!$A:$B,2,FALSE)</f>
        <v>1</v>
      </c>
      <c r="O220">
        <f>VLOOKUP(C220,[12]Sheet1!$A:$B,2,FALSE)</f>
        <v>24</v>
      </c>
    </row>
    <row r="221" spans="1:15" ht="22.2" customHeight="1">
      <c r="A221" t="s">
        <v>285</v>
      </c>
      <c r="B221" t="s">
        <v>64</v>
      </c>
      <c r="C221" t="s">
        <v>256</v>
      </c>
      <c r="D221">
        <f>VLOOKUP(B221,[10]Sheet1!$A:$B,2,FALSE)</f>
        <v>44</v>
      </c>
      <c r="E221">
        <f>VLOOKUP(C221,[10]Sheet1!$A:$B,2,FALSE)</f>
        <v>21</v>
      </c>
      <c r="F221">
        <f>VLOOKUP(B221,[11]Sheet1!$A:$C,2,FALSE)</f>
        <v>0</v>
      </c>
      <c r="G221">
        <f>VLOOKUP(B221,[11]Sheet1!$A:$C,3,FALSE)</f>
        <v>1</v>
      </c>
      <c r="H221">
        <f>VLOOKUP(C221,[11]Sheet1!$A:$C,2,FALSE)</f>
        <v>0</v>
      </c>
      <c r="I221">
        <f>VLOOKUP(C221,[11]Sheet1!$A:$C,3,FALSE)</f>
        <v>1</v>
      </c>
      <c r="M221">
        <v>1</v>
      </c>
      <c r="N221" s="2">
        <f>VLOOKUP(B221,[12]Sheet1!$A:$B,2,FALSE)</f>
        <v>23</v>
      </c>
      <c r="O221">
        <f>VLOOKUP(C221,[12]Sheet1!$A:$B,2,FALSE)</f>
        <v>19</v>
      </c>
    </row>
    <row r="222" spans="1:15" ht="22.2" customHeight="1">
      <c r="A222" t="s">
        <v>286</v>
      </c>
      <c r="B222" t="s">
        <v>84</v>
      </c>
      <c r="C222" t="s">
        <v>86</v>
      </c>
      <c r="D222">
        <f>VLOOKUP(B222,[10]Sheet1!$A:$B,2,FALSE)</f>
        <v>11</v>
      </c>
      <c r="E222">
        <f>VLOOKUP(C222,[10]Sheet1!$A:$B,2,FALSE)</f>
        <v>19</v>
      </c>
      <c r="F222">
        <f>VLOOKUP(B222,[11]Sheet1!$A:$C,2,FALSE)</f>
        <v>1</v>
      </c>
      <c r="G222">
        <f>VLOOKUP(B222,[11]Sheet1!$A:$C,3,FALSE)</f>
        <v>3</v>
      </c>
      <c r="H222">
        <f>VLOOKUP(C222,[11]Sheet1!$A:$C,2,FALSE)</f>
        <v>0</v>
      </c>
      <c r="I222">
        <f>VLOOKUP(C222,[11]Sheet1!$A:$C,3,FALSE)</f>
        <v>1</v>
      </c>
      <c r="M222">
        <v>1</v>
      </c>
      <c r="N222" s="2">
        <f>VLOOKUP(B222,[12]Sheet1!$A:$B,2,FALSE)</f>
        <v>9</v>
      </c>
      <c r="O222">
        <f>VLOOKUP(C222,[12]Sheet1!$A:$B,2,FALSE)</f>
        <v>21</v>
      </c>
    </row>
    <row r="223" spans="1:15" ht="22.2" customHeight="1">
      <c r="A223" t="s">
        <v>287</v>
      </c>
      <c r="B223" t="s">
        <v>39</v>
      </c>
      <c r="C223" t="s">
        <v>199</v>
      </c>
      <c r="D223">
        <f>VLOOKUP(B223,[10]Sheet1!$A:$B,2,FALSE)</f>
        <v>57</v>
      </c>
      <c r="E223">
        <f>VLOOKUP(C223,[10]Sheet1!$A:$B,2,FALSE)</f>
        <v>22</v>
      </c>
      <c r="F223">
        <f>VLOOKUP(B223,[11]Sheet1!$A:$C,2,FALSE)</f>
        <v>0</v>
      </c>
      <c r="G223">
        <f>VLOOKUP(B223,[11]Sheet1!$A:$C,3,FALSE)</f>
        <v>0</v>
      </c>
      <c r="H223">
        <f>VLOOKUP(C223,[11]Sheet1!$A:$C,2,FALSE)</f>
        <v>0</v>
      </c>
      <c r="I223">
        <f>VLOOKUP(C223,[11]Sheet1!$A:$C,3,FALSE)</f>
        <v>1</v>
      </c>
      <c r="M223">
        <v>-1</v>
      </c>
      <c r="N223" s="2">
        <f>VLOOKUP(B223,[12]Sheet1!$A:$B,2,FALSE)</f>
        <v>28</v>
      </c>
      <c r="O223">
        <f>VLOOKUP(C223,[12]Sheet1!$A:$B,2,FALSE)</f>
        <v>26</v>
      </c>
    </row>
    <row r="224" spans="1:15" ht="22.2" customHeight="1">
      <c r="A224" t="s">
        <v>288</v>
      </c>
      <c r="B224" t="s">
        <v>45</v>
      </c>
      <c r="C224" t="s">
        <v>43</v>
      </c>
      <c r="D224">
        <f>VLOOKUP(B224,[10]Sheet1!$A:$B,2,FALSE)</f>
        <v>13</v>
      </c>
      <c r="E224">
        <f>VLOOKUP(C224,[10]Sheet1!$A:$B,2,FALSE)</f>
        <v>4</v>
      </c>
      <c r="F224">
        <f>VLOOKUP(B224,[11]Sheet1!$A:$C,2,FALSE)</f>
        <v>0</v>
      </c>
      <c r="G224">
        <f>VLOOKUP(B224,[11]Sheet1!$A:$C,3,FALSE)</f>
        <v>1</v>
      </c>
      <c r="H224">
        <f>VLOOKUP(C224,[11]Sheet1!$A:$C,2,FALSE)</f>
        <v>1</v>
      </c>
      <c r="I224">
        <f>VLOOKUP(C224,[11]Sheet1!$A:$C,3,FALSE)</f>
        <v>3</v>
      </c>
      <c r="M224">
        <v>0</v>
      </c>
      <c r="N224" s="2">
        <f>VLOOKUP(B224,[12]Sheet1!$A:$B,2,FALSE)</f>
        <v>16</v>
      </c>
      <c r="O224">
        <f>VLOOKUP(C224,[12]Sheet1!$A:$B,2,FALSE)</f>
        <v>8</v>
      </c>
    </row>
    <row r="225" spans="1:15" ht="22.2" customHeight="1">
      <c r="A225" t="s">
        <v>289</v>
      </c>
      <c r="B225" t="s">
        <v>145</v>
      </c>
      <c r="C225" t="s">
        <v>22</v>
      </c>
      <c r="D225">
        <f>VLOOKUP(B225,[10]Sheet1!$A:$B,2,FALSE)</f>
        <v>62</v>
      </c>
      <c r="E225">
        <f>VLOOKUP(C225,[10]Sheet1!$A:$B,2,FALSE)</f>
        <v>1</v>
      </c>
      <c r="F225">
        <f>VLOOKUP(B225,[11]Sheet1!$A:$C,2,FALSE)</f>
        <v>0</v>
      </c>
      <c r="G225">
        <f>VLOOKUP(B225,[11]Sheet1!$A:$C,3,FALSE)</f>
        <v>0</v>
      </c>
      <c r="H225">
        <f>VLOOKUP(C225,[11]Sheet1!$A:$C,2,FALSE)</f>
        <v>3</v>
      </c>
      <c r="I225">
        <f>VLOOKUP(C225,[11]Sheet1!$A:$C,3,FALSE)</f>
        <v>6</v>
      </c>
      <c r="M225">
        <v>-1</v>
      </c>
      <c r="N225" s="2">
        <f>VLOOKUP(B225,[12]Sheet1!$A:$B,2,FALSE)</f>
        <v>32</v>
      </c>
      <c r="O225">
        <f>VLOOKUP(C225,[12]Sheet1!$A:$B,2,FALSE)</f>
        <v>3</v>
      </c>
    </row>
    <row r="226" spans="1:15" ht="22.2" customHeight="1">
      <c r="A226" t="s">
        <v>290</v>
      </c>
      <c r="B226" t="s">
        <v>29</v>
      </c>
      <c r="C226" t="s">
        <v>54</v>
      </c>
      <c r="D226">
        <f>VLOOKUP(B226,[10]Sheet1!$A:$B,2,FALSE)</f>
        <v>3</v>
      </c>
      <c r="E226">
        <f>VLOOKUP(C226,[10]Sheet1!$A:$B,2,FALSE)</f>
        <v>56</v>
      </c>
      <c r="F226">
        <f>VLOOKUP(B226,[11]Sheet1!$A:$C,2,FALSE)</f>
        <v>2</v>
      </c>
      <c r="G226">
        <f>VLOOKUP(B226,[11]Sheet1!$A:$C,3,FALSE)</f>
        <v>5</v>
      </c>
      <c r="H226">
        <f>VLOOKUP(C226,[11]Sheet1!$A:$C,2,FALSE)</f>
        <v>0</v>
      </c>
      <c r="I226">
        <f>VLOOKUP(C226,[11]Sheet1!$A:$C,3,FALSE)</f>
        <v>0</v>
      </c>
      <c r="M226">
        <v>1</v>
      </c>
      <c r="N226" s="2">
        <f>VLOOKUP(B226,[12]Sheet1!$A:$B,2,FALSE)</f>
        <v>5</v>
      </c>
      <c r="O226">
        <f>VLOOKUP(C226,[12]Sheet1!$A:$B,2,FALSE)</f>
        <v>31</v>
      </c>
    </row>
    <row r="227" spans="1:15" ht="22.2" customHeight="1">
      <c r="A227" t="s">
        <v>291</v>
      </c>
      <c r="B227" t="s">
        <v>73</v>
      </c>
      <c r="C227" t="s">
        <v>74</v>
      </c>
      <c r="D227">
        <f>VLOOKUP(B227,[10]Sheet1!$A:$B,2,FALSE)</f>
        <v>18</v>
      </c>
      <c r="E227">
        <f>VLOOKUP(C227,[10]Sheet1!$A:$B,2,FALSE)</f>
        <v>20</v>
      </c>
      <c r="F227">
        <f>VLOOKUP(B227,[11]Sheet1!$A:$C,2,FALSE)</f>
        <v>0</v>
      </c>
      <c r="G227">
        <f>VLOOKUP(B227,[11]Sheet1!$A:$C,3,FALSE)</f>
        <v>1</v>
      </c>
      <c r="H227">
        <f>VLOOKUP(C227,[11]Sheet1!$A:$C,2,FALSE)</f>
        <v>0</v>
      </c>
      <c r="I227">
        <f>VLOOKUP(C227,[11]Sheet1!$A:$C,3,FALSE)</f>
        <v>1</v>
      </c>
      <c r="M227">
        <v>-1</v>
      </c>
      <c r="N227" s="2">
        <f>VLOOKUP(B227,[12]Sheet1!$A:$B,2,FALSE)</f>
        <v>18</v>
      </c>
      <c r="O227">
        <f>VLOOKUP(C227,[12]Sheet1!$A:$B,2,FALSE)</f>
        <v>15</v>
      </c>
    </row>
    <row r="228" spans="1:15" ht="22.2" customHeight="1">
      <c r="A228" t="s">
        <v>292</v>
      </c>
      <c r="B228" t="s">
        <v>123</v>
      </c>
      <c r="C228" t="s">
        <v>233</v>
      </c>
      <c r="D228">
        <f>VLOOKUP(B228,[10]Sheet1!$A:$B,2,FALSE)</f>
        <v>15</v>
      </c>
      <c r="E228">
        <f>VLOOKUP(C228,[10]Sheet1!$A:$B,2,FALSE)</f>
        <v>14</v>
      </c>
      <c r="F228">
        <f>VLOOKUP(B228,[11]Sheet1!$A:$C,2,FALSE)</f>
        <v>2</v>
      </c>
      <c r="G228">
        <f>VLOOKUP(B228,[11]Sheet1!$A:$C,3,FALSE)</f>
        <v>4</v>
      </c>
      <c r="H228">
        <f>VLOOKUP(C228,[11]Sheet1!$A:$C,2,FALSE)</f>
        <v>1</v>
      </c>
      <c r="I228">
        <f>VLOOKUP(C228,[11]Sheet1!$A:$C,3,FALSE)</f>
        <v>2</v>
      </c>
      <c r="M228">
        <v>1</v>
      </c>
      <c r="N228" s="2">
        <f>VLOOKUP(B228,[12]Sheet1!$A:$B,2,FALSE)</f>
        <v>7</v>
      </c>
      <c r="O228">
        <f>VLOOKUP(C228,[12]Sheet1!$A:$B,2,FALSE)</f>
        <v>14</v>
      </c>
    </row>
    <row r="229" spans="1:15" ht="22.2" customHeight="1">
      <c r="A229" t="s">
        <v>293</v>
      </c>
      <c r="B229" t="s">
        <v>33</v>
      </c>
      <c r="C229" t="s">
        <v>66</v>
      </c>
      <c r="D229">
        <f>VLOOKUP(B229,[10]Sheet1!$A:$B,2,FALSE)</f>
        <v>28</v>
      </c>
      <c r="E229">
        <f>VLOOKUP(C229,[10]Sheet1!$A:$B,2,FALSE)</f>
        <v>10</v>
      </c>
      <c r="F229">
        <f>VLOOKUP(B229,[11]Sheet1!$A:$C,2,FALSE)</f>
        <v>0</v>
      </c>
      <c r="G229">
        <f>VLOOKUP(B229,[11]Sheet1!$A:$C,3,FALSE)</f>
        <v>1</v>
      </c>
      <c r="H229">
        <f>VLOOKUP(C229,[11]Sheet1!$A:$C,2,FALSE)</f>
        <v>1</v>
      </c>
      <c r="I229">
        <f>VLOOKUP(C229,[11]Sheet1!$A:$C,3,FALSE)</f>
        <v>2</v>
      </c>
      <c r="M229">
        <v>0</v>
      </c>
      <c r="N229" s="2">
        <f>VLOOKUP(B229,[12]Sheet1!$A:$B,2,FALSE)</f>
        <v>20</v>
      </c>
      <c r="O229">
        <f>VLOOKUP(C229,[12]Sheet1!$A:$B,2,FALSE)</f>
        <v>10</v>
      </c>
    </row>
    <row r="230" spans="1:15" ht="22.2" customHeight="1">
      <c r="A230" t="s">
        <v>294</v>
      </c>
      <c r="B230" t="s">
        <v>191</v>
      </c>
      <c r="C230" t="s">
        <v>120</v>
      </c>
      <c r="D230">
        <f>VLOOKUP(B230,[10]Sheet1!$A:$B,2,FALSE)</f>
        <v>12</v>
      </c>
      <c r="E230">
        <f>VLOOKUP(C230,[10]Sheet1!$A:$B,2,FALSE)</f>
        <v>23</v>
      </c>
      <c r="F230">
        <f>VLOOKUP(B230,[11]Sheet1!$A:$C,2,FALSE)</f>
        <v>0</v>
      </c>
      <c r="G230">
        <f>VLOOKUP(B230,[11]Sheet1!$A:$C,3,FALSE)</f>
        <v>1</v>
      </c>
      <c r="H230">
        <f>VLOOKUP(C230,[11]Sheet1!$A:$C,2,FALSE)</f>
        <v>1</v>
      </c>
      <c r="I230">
        <f>VLOOKUP(C230,[11]Sheet1!$A:$C,3,FALSE)</f>
        <v>2</v>
      </c>
      <c r="M230">
        <v>1</v>
      </c>
      <c r="N230" s="2">
        <f>VLOOKUP(B230,[12]Sheet1!$A:$B,2,FALSE)</f>
        <v>17</v>
      </c>
      <c r="O230">
        <f>VLOOKUP(C230,[12]Sheet1!$A:$B,2,FALSE)</f>
        <v>25</v>
      </c>
    </row>
    <row r="231" spans="1:15" ht="22.2" customHeight="1">
      <c r="A231" t="s">
        <v>295</v>
      </c>
      <c r="B231" t="s">
        <v>76</v>
      </c>
      <c r="C231" t="s">
        <v>11</v>
      </c>
      <c r="D231">
        <f>VLOOKUP(B231,[10]Sheet1!$A:$B,2,FALSE)</f>
        <v>9</v>
      </c>
      <c r="E231">
        <f>VLOOKUP(C231,[10]Sheet1!$A:$B,2,FALSE)</f>
        <v>7</v>
      </c>
      <c r="F231">
        <f>VLOOKUP(B231,[11]Sheet1!$A:$C,2,FALSE)</f>
        <v>1</v>
      </c>
      <c r="G231">
        <f>VLOOKUP(B231,[11]Sheet1!$A:$C,3,FALSE)</f>
        <v>2</v>
      </c>
      <c r="H231">
        <f>VLOOKUP(C231,[11]Sheet1!$A:$C,2,FALSE)</f>
        <v>1</v>
      </c>
      <c r="I231">
        <f>VLOOKUP(C231,[11]Sheet1!$A:$C,3,FALSE)</f>
        <v>2</v>
      </c>
      <c r="M231">
        <v>-1</v>
      </c>
      <c r="N231" s="2">
        <f>VLOOKUP(B231,[12]Sheet1!$A:$B,2,FALSE)</f>
        <v>2</v>
      </c>
      <c r="O231">
        <f>VLOOKUP(C231,[12]Sheet1!$A:$B,2,FALSE)</f>
        <v>13</v>
      </c>
    </row>
    <row r="232" spans="1:15" ht="22.2" customHeight="1">
      <c r="A232" t="s">
        <v>296</v>
      </c>
      <c r="B232" t="s">
        <v>83</v>
      </c>
      <c r="C232" t="s">
        <v>255</v>
      </c>
      <c r="D232">
        <f>VLOOKUP(B232,[10]Sheet1!$A:$B,2,FALSE)</f>
        <v>46</v>
      </c>
      <c r="E232">
        <f>VLOOKUP(C232,[10]Sheet1!$A:$B,2,FALSE)</f>
        <v>8</v>
      </c>
      <c r="F232">
        <f>VLOOKUP(B232,[11]Sheet1!$A:$C,2,FALSE)</f>
        <v>0</v>
      </c>
      <c r="G232">
        <f>VLOOKUP(B232,[11]Sheet1!$A:$C,3,FALSE)</f>
        <v>1</v>
      </c>
      <c r="H232">
        <f>VLOOKUP(C232,[11]Sheet1!$A:$C,2,FALSE)</f>
        <v>1</v>
      </c>
      <c r="I232">
        <f>VLOOKUP(C232,[11]Sheet1!$A:$C,3,FALSE)</f>
        <v>2</v>
      </c>
      <c r="M232">
        <v>-1</v>
      </c>
      <c r="N232" s="2">
        <f>VLOOKUP(B232,[12]Sheet1!$A:$B,2,FALSE)</f>
        <v>27</v>
      </c>
      <c r="O232">
        <f>VLOOKUP(C232,[12]Sheet1!$A:$B,2,FALSE)</f>
        <v>12</v>
      </c>
    </row>
    <row r="233" spans="1:15" ht="22.2" customHeight="1">
      <c r="A233" t="s">
        <v>297</v>
      </c>
      <c r="B233" t="s">
        <v>256</v>
      </c>
      <c r="C233" t="s">
        <v>129</v>
      </c>
      <c r="D233">
        <f>VLOOKUP(B233,[10]Sheet1!$A:$B,2,FALSE)</f>
        <v>21</v>
      </c>
      <c r="E233">
        <f>VLOOKUP(C233,[10]Sheet1!$A:$B,2,FALSE)</f>
        <v>43</v>
      </c>
      <c r="F233">
        <f>VLOOKUP(B233,[11]Sheet1!$A:$C,2,FALSE)</f>
        <v>0</v>
      </c>
      <c r="G233">
        <f>VLOOKUP(B233,[11]Sheet1!$A:$C,3,FALSE)</f>
        <v>1</v>
      </c>
      <c r="H233">
        <f>VLOOKUP(C233,[11]Sheet1!$A:$C,2,FALSE)</f>
        <v>0</v>
      </c>
      <c r="I233">
        <f>VLOOKUP(C233,[11]Sheet1!$A:$C,3,FALSE)</f>
        <v>0</v>
      </c>
      <c r="M233">
        <v>1</v>
      </c>
      <c r="N233" s="2">
        <f>VLOOKUP(B233,[12]Sheet1!$A:$B,2,FALSE)</f>
        <v>19</v>
      </c>
      <c r="O233">
        <f>VLOOKUP(C233,[12]Sheet1!$A:$B,2,FALSE)</f>
        <v>29</v>
      </c>
    </row>
    <row r="234" spans="1:15" ht="22.2" customHeight="1">
      <c r="A234" t="s">
        <v>298</v>
      </c>
      <c r="B234" t="s">
        <v>77</v>
      </c>
      <c r="C234" t="s">
        <v>9</v>
      </c>
      <c r="D234">
        <f>VLOOKUP(B234,[10]Sheet1!$A:$B,2,FALSE)</f>
        <v>26</v>
      </c>
      <c r="E234">
        <f>VLOOKUP(C234,[10]Sheet1!$A:$B,2,FALSE)</f>
        <v>17</v>
      </c>
      <c r="F234">
        <f>VLOOKUP(B234,[11]Sheet1!$A:$C,2,FALSE)</f>
        <v>0</v>
      </c>
      <c r="G234">
        <f>VLOOKUP(B234,[11]Sheet1!$A:$C,3,FALSE)</f>
        <v>1</v>
      </c>
      <c r="H234">
        <f>VLOOKUP(C234,[11]Sheet1!$A:$C,2,FALSE)</f>
        <v>1</v>
      </c>
      <c r="I234">
        <f>VLOOKUP(C234,[11]Sheet1!$A:$C,3,FALSE)</f>
        <v>3</v>
      </c>
      <c r="M234">
        <v>0</v>
      </c>
      <c r="N234" s="2">
        <f>VLOOKUP(B234,[12]Sheet1!$A:$B,2,FALSE)</f>
        <v>22</v>
      </c>
      <c r="O234">
        <f>VLOOKUP(C234,[12]Sheet1!$A:$B,2,FALSE)</f>
        <v>4</v>
      </c>
    </row>
    <row r="235" spans="1:15" ht="22.2" customHeight="1">
      <c r="A235" t="s">
        <v>299</v>
      </c>
      <c r="B235" t="s">
        <v>232</v>
      </c>
      <c r="C235" t="s">
        <v>154</v>
      </c>
      <c r="D235">
        <f>VLOOKUP(B235,[10]Sheet1!$A:$B,2,FALSE)</f>
        <v>33</v>
      </c>
      <c r="E235">
        <f>VLOOKUP(C235,[10]Sheet1!$A:$B,2,FALSE)</f>
        <v>6</v>
      </c>
      <c r="F235">
        <f>VLOOKUP(B235,[11]Sheet1!$A:$C,2,FALSE)</f>
        <v>0</v>
      </c>
      <c r="G235">
        <f>VLOOKUP(B235,[11]Sheet1!$A:$C,3,FALSE)</f>
        <v>0</v>
      </c>
      <c r="H235">
        <f>VLOOKUP(C235,[11]Sheet1!$A:$C,2,FALSE)</f>
        <v>0</v>
      </c>
      <c r="I235">
        <f>VLOOKUP(C235,[11]Sheet1!$A:$C,3,FALSE)</f>
        <v>1</v>
      </c>
      <c r="M235">
        <v>-1</v>
      </c>
      <c r="N235" s="2">
        <f>VLOOKUP(B235,[12]Sheet1!$A:$B,2,FALSE)</f>
        <v>30</v>
      </c>
      <c r="O235">
        <f>VLOOKUP(C235,[12]Sheet1!$A:$B,2,FALSE)</f>
        <v>11</v>
      </c>
    </row>
    <row r="236" spans="1:15" ht="22.2" customHeight="1">
      <c r="A236" t="s">
        <v>300</v>
      </c>
      <c r="B236" t="s">
        <v>64</v>
      </c>
      <c r="C236" t="s">
        <v>63</v>
      </c>
      <c r="D236">
        <f>VLOOKUP(B236,[10]Sheet1!$A:$B,2,FALSE)</f>
        <v>44</v>
      </c>
      <c r="E236">
        <f>VLOOKUP(C236,[10]Sheet1!$A:$B,2,FALSE)</f>
        <v>5</v>
      </c>
      <c r="F236">
        <f>VLOOKUP(B236,[11]Sheet1!$A:$C,2,FALSE)</f>
        <v>0</v>
      </c>
      <c r="G236">
        <f>VLOOKUP(B236,[11]Sheet1!$A:$C,3,FALSE)</f>
        <v>1</v>
      </c>
      <c r="H236">
        <f>VLOOKUP(C236,[11]Sheet1!$A:$C,2,FALSE)</f>
        <v>2</v>
      </c>
      <c r="I236">
        <f>VLOOKUP(C236,[11]Sheet1!$A:$C,3,FALSE)</f>
        <v>4</v>
      </c>
      <c r="M236">
        <v>-1</v>
      </c>
      <c r="N236" s="2">
        <f>VLOOKUP(B236,[12]Sheet1!$A:$B,2,FALSE)</f>
        <v>23</v>
      </c>
      <c r="O236">
        <f>VLOOKUP(C236,[12]Sheet1!$A:$B,2,FALSE)</f>
        <v>6</v>
      </c>
    </row>
    <row r="237" spans="1:15" ht="22.2" customHeight="1">
      <c r="A237" t="s">
        <v>301</v>
      </c>
      <c r="B237" t="s">
        <v>199</v>
      </c>
      <c r="C237" t="s">
        <v>86</v>
      </c>
      <c r="D237">
        <f>VLOOKUP(B237,[10]Sheet1!$A:$B,2,FALSE)</f>
        <v>22</v>
      </c>
      <c r="E237">
        <f>VLOOKUP(C237,[10]Sheet1!$A:$B,2,FALSE)</f>
        <v>19</v>
      </c>
      <c r="F237">
        <f>VLOOKUP(B237,[11]Sheet1!$A:$C,2,FALSE)</f>
        <v>0</v>
      </c>
      <c r="G237">
        <f>VLOOKUP(B237,[11]Sheet1!$A:$C,3,FALSE)</f>
        <v>1</v>
      </c>
      <c r="H237">
        <f>VLOOKUP(C237,[11]Sheet1!$A:$C,2,FALSE)</f>
        <v>0</v>
      </c>
      <c r="I237">
        <f>VLOOKUP(C237,[11]Sheet1!$A:$C,3,FALSE)</f>
        <v>1</v>
      </c>
      <c r="M237">
        <v>0</v>
      </c>
      <c r="N237" s="2">
        <f>VLOOKUP(B237,[12]Sheet1!$A:$B,2,FALSE)</f>
        <v>26</v>
      </c>
      <c r="O237">
        <f>VLOOKUP(C237,[12]Sheet1!$A:$B,2,FALSE)</f>
        <v>21</v>
      </c>
    </row>
    <row r="238" spans="1:15" ht="22.2" customHeight="1">
      <c r="A238" t="s">
        <v>302</v>
      </c>
      <c r="B238" t="s">
        <v>39</v>
      </c>
      <c r="C238" t="s">
        <v>84</v>
      </c>
      <c r="D238">
        <f>VLOOKUP(B238,[10]Sheet1!$A:$B,2,FALSE)</f>
        <v>57</v>
      </c>
      <c r="E238">
        <f>VLOOKUP(C238,[10]Sheet1!$A:$B,2,FALSE)</f>
        <v>11</v>
      </c>
      <c r="F238">
        <f>VLOOKUP(B238,[11]Sheet1!$A:$C,2,FALSE)</f>
        <v>0</v>
      </c>
      <c r="G238">
        <f>VLOOKUP(B238,[11]Sheet1!$A:$C,3,FALSE)</f>
        <v>0</v>
      </c>
      <c r="H238">
        <f>VLOOKUP(C238,[11]Sheet1!$A:$C,2,FALSE)</f>
        <v>1</v>
      </c>
      <c r="I238">
        <f>VLOOKUP(C238,[11]Sheet1!$A:$C,3,FALSE)</f>
        <v>3</v>
      </c>
      <c r="M238">
        <v>-1</v>
      </c>
      <c r="N238" s="2">
        <f>VLOOKUP(B238,[12]Sheet1!$A:$B,2,FALSE)</f>
        <v>28</v>
      </c>
      <c r="O238">
        <f>VLOOKUP(C238,[12]Sheet1!$A:$B,2,FALSE)</f>
        <v>9</v>
      </c>
    </row>
    <row r="239" spans="1:15" ht="22.2" customHeight="1">
      <c r="A239" t="s">
        <v>303</v>
      </c>
      <c r="B239" t="s">
        <v>43</v>
      </c>
      <c r="C239" t="s">
        <v>139</v>
      </c>
      <c r="D239">
        <f>VLOOKUP(B239,[10]Sheet1!$A:$B,2,FALSE)</f>
        <v>4</v>
      </c>
      <c r="E239">
        <f>VLOOKUP(C239,[10]Sheet1!$A:$B,2,FALSE)</f>
        <v>37</v>
      </c>
      <c r="F239">
        <f>VLOOKUP(B239,[11]Sheet1!$A:$C,2,FALSE)</f>
        <v>1</v>
      </c>
      <c r="G239">
        <f>VLOOKUP(B239,[11]Sheet1!$A:$C,3,FALSE)</f>
        <v>3</v>
      </c>
      <c r="H239">
        <f>VLOOKUP(C239,[11]Sheet1!$A:$C,2,FALSE)</f>
        <v>0</v>
      </c>
      <c r="I239">
        <f>VLOOKUP(C239,[11]Sheet1!$A:$C,3,FALSE)</f>
        <v>1</v>
      </c>
      <c r="M239">
        <v>1</v>
      </c>
      <c r="N239" s="2">
        <f>VLOOKUP(B239,[12]Sheet1!$A:$B,2,FALSE)</f>
        <v>8</v>
      </c>
      <c r="O239">
        <f>VLOOKUP(C239,[12]Sheet1!$A:$B,2,FALSE)</f>
        <v>24</v>
      </c>
    </row>
    <row r="240" spans="1:15" ht="22.2" customHeight="1">
      <c r="A240" t="s">
        <v>304</v>
      </c>
      <c r="B240" t="s">
        <v>45</v>
      </c>
      <c r="C240" t="s">
        <v>56</v>
      </c>
      <c r="D240">
        <f>VLOOKUP(B240,[10]Sheet1!$A:$B,2,FALSE)</f>
        <v>13</v>
      </c>
      <c r="E240">
        <f>VLOOKUP(C240,[10]Sheet1!$A:$B,2,FALSE)</f>
        <v>2</v>
      </c>
      <c r="F240">
        <f>VLOOKUP(B240,[11]Sheet1!$A:$C,2,FALSE)</f>
        <v>0</v>
      </c>
      <c r="G240">
        <f>VLOOKUP(B240,[11]Sheet1!$A:$C,3,FALSE)</f>
        <v>1</v>
      </c>
      <c r="H240">
        <f>VLOOKUP(C240,[11]Sheet1!$A:$C,2,FALSE)</f>
        <v>2</v>
      </c>
      <c r="I240">
        <f>VLOOKUP(C240,[11]Sheet1!$A:$C,3,FALSE)</f>
        <v>4</v>
      </c>
      <c r="M240">
        <v>-1</v>
      </c>
      <c r="N240" s="2">
        <f>VLOOKUP(B240,[12]Sheet1!$A:$B,2,FALSE)</f>
        <v>16</v>
      </c>
      <c r="O240">
        <f>VLOOKUP(C240,[12]Sheet1!$A:$B,2,FALSE)</f>
        <v>1</v>
      </c>
    </row>
    <row r="241" spans="1:15" ht="22.2" customHeight="1">
      <c r="A241" t="s">
        <v>305</v>
      </c>
      <c r="B241" t="s">
        <v>29</v>
      </c>
      <c r="C241" t="s">
        <v>233</v>
      </c>
      <c r="D241">
        <f>VLOOKUP(B241,[10]Sheet1!$A:$B,2,FALSE)</f>
        <v>3</v>
      </c>
      <c r="E241">
        <f>VLOOKUP(C241,[10]Sheet1!$A:$B,2,FALSE)</f>
        <v>14</v>
      </c>
      <c r="F241">
        <f>VLOOKUP(B241,[11]Sheet1!$A:$C,2,FALSE)</f>
        <v>2</v>
      </c>
      <c r="G241">
        <f>VLOOKUP(B241,[11]Sheet1!$A:$C,3,FALSE)</f>
        <v>5</v>
      </c>
      <c r="H241">
        <f>VLOOKUP(C241,[11]Sheet1!$A:$C,2,FALSE)</f>
        <v>1</v>
      </c>
      <c r="I241">
        <f>VLOOKUP(C241,[11]Sheet1!$A:$C,3,FALSE)</f>
        <v>2</v>
      </c>
      <c r="M241">
        <v>0</v>
      </c>
      <c r="N241" s="2">
        <f>VLOOKUP(B241,[12]Sheet1!$A:$B,2,FALSE)</f>
        <v>5</v>
      </c>
      <c r="O241">
        <f>VLOOKUP(C241,[12]Sheet1!$A:$B,2,FALSE)</f>
        <v>14</v>
      </c>
    </row>
    <row r="242" spans="1:15" ht="22.2" customHeight="1">
      <c r="A242" t="s">
        <v>306</v>
      </c>
      <c r="B242" t="s">
        <v>255</v>
      </c>
      <c r="C242" t="s">
        <v>11</v>
      </c>
      <c r="D242">
        <f>VLOOKUP(B242,[10]Sheet1!$A:$B,2,FALSE)</f>
        <v>8</v>
      </c>
      <c r="E242">
        <f>VLOOKUP(C242,[10]Sheet1!$A:$B,2,FALSE)</f>
        <v>7</v>
      </c>
      <c r="F242">
        <f>VLOOKUP(B242,[11]Sheet1!$A:$C,2,FALSE)</f>
        <v>1</v>
      </c>
      <c r="G242">
        <f>VLOOKUP(B242,[11]Sheet1!$A:$C,3,FALSE)</f>
        <v>2</v>
      </c>
      <c r="H242">
        <f>VLOOKUP(C242,[11]Sheet1!$A:$C,2,FALSE)</f>
        <v>1</v>
      </c>
      <c r="I242">
        <f>VLOOKUP(C242,[11]Sheet1!$A:$C,3,FALSE)</f>
        <v>2</v>
      </c>
      <c r="M242">
        <v>1</v>
      </c>
      <c r="N242" s="2">
        <f>VLOOKUP(B242,[12]Sheet1!$A:$B,2,FALSE)</f>
        <v>12</v>
      </c>
      <c r="O242">
        <f>VLOOKUP(C242,[12]Sheet1!$A:$B,2,FALSE)</f>
        <v>13</v>
      </c>
    </row>
    <row r="243" spans="1:15" ht="22.2" customHeight="1">
      <c r="A243" t="s">
        <v>307</v>
      </c>
      <c r="B243" t="s">
        <v>33</v>
      </c>
      <c r="C243" t="s">
        <v>191</v>
      </c>
      <c r="D243">
        <f>VLOOKUP(B243,[10]Sheet1!$A:$B,2,FALSE)</f>
        <v>28</v>
      </c>
      <c r="E243">
        <f>VLOOKUP(C243,[10]Sheet1!$A:$B,2,FALSE)</f>
        <v>12</v>
      </c>
      <c r="F243">
        <f>VLOOKUP(B243,[11]Sheet1!$A:$C,2,FALSE)</f>
        <v>0</v>
      </c>
      <c r="G243">
        <f>VLOOKUP(B243,[11]Sheet1!$A:$C,3,FALSE)</f>
        <v>1</v>
      </c>
      <c r="H243">
        <f>VLOOKUP(C243,[11]Sheet1!$A:$C,2,FALSE)</f>
        <v>0</v>
      </c>
      <c r="I243">
        <f>VLOOKUP(C243,[11]Sheet1!$A:$C,3,FALSE)</f>
        <v>1</v>
      </c>
      <c r="M243">
        <v>0</v>
      </c>
      <c r="N243" s="2">
        <f>VLOOKUP(B243,[12]Sheet1!$A:$B,2,FALSE)</f>
        <v>20</v>
      </c>
      <c r="O243">
        <f>VLOOKUP(C243,[12]Sheet1!$A:$B,2,FALSE)</f>
        <v>17</v>
      </c>
    </row>
    <row r="244" spans="1:15" ht="22.2" customHeight="1">
      <c r="A244" t="s">
        <v>308</v>
      </c>
      <c r="B244" t="s">
        <v>123</v>
      </c>
      <c r="C244" t="s">
        <v>74</v>
      </c>
      <c r="D244">
        <f>VLOOKUP(B244,[10]Sheet1!$A:$B,2,FALSE)</f>
        <v>15</v>
      </c>
      <c r="E244">
        <f>VLOOKUP(C244,[10]Sheet1!$A:$B,2,FALSE)</f>
        <v>20</v>
      </c>
      <c r="F244">
        <f>VLOOKUP(B244,[11]Sheet1!$A:$C,2,FALSE)</f>
        <v>2</v>
      </c>
      <c r="G244">
        <f>VLOOKUP(B244,[11]Sheet1!$A:$C,3,FALSE)</f>
        <v>4</v>
      </c>
      <c r="H244">
        <f>VLOOKUP(C244,[11]Sheet1!$A:$C,2,FALSE)</f>
        <v>0</v>
      </c>
      <c r="I244">
        <f>VLOOKUP(C244,[11]Sheet1!$A:$C,3,FALSE)</f>
        <v>1</v>
      </c>
      <c r="M244">
        <v>1</v>
      </c>
      <c r="N244" s="2">
        <f>VLOOKUP(B244,[12]Sheet1!$A:$B,2,FALSE)</f>
        <v>7</v>
      </c>
      <c r="O244">
        <f>VLOOKUP(C244,[12]Sheet1!$A:$B,2,FALSE)</f>
        <v>15</v>
      </c>
    </row>
    <row r="245" spans="1:15" ht="22.2" customHeight="1">
      <c r="A245" t="s">
        <v>309</v>
      </c>
      <c r="B245" t="s">
        <v>9</v>
      </c>
      <c r="C245" t="s">
        <v>64</v>
      </c>
      <c r="D245">
        <f>VLOOKUP(B245,[10]Sheet1!$A:$B,2,FALSE)</f>
        <v>17</v>
      </c>
      <c r="E245">
        <f>VLOOKUP(C245,[10]Sheet1!$A:$B,2,FALSE)</f>
        <v>44</v>
      </c>
      <c r="F245">
        <f>VLOOKUP(B245,[11]Sheet1!$A:$C,2,FALSE)</f>
        <v>1</v>
      </c>
      <c r="G245">
        <f>VLOOKUP(B245,[11]Sheet1!$A:$C,3,FALSE)</f>
        <v>3</v>
      </c>
      <c r="H245">
        <f>VLOOKUP(C245,[11]Sheet1!$A:$C,2,FALSE)</f>
        <v>0</v>
      </c>
      <c r="I245">
        <f>VLOOKUP(C245,[11]Sheet1!$A:$C,3,FALSE)</f>
        <v>1</v>
      </c>
      <c r="M245">
        <v>1</v>
      </c>
      <c r="N245" s="2">
        <f>VLOOKUP(B245,[12]Sheet1!$A:$B,2,FALSE)</f>
        <v>4</v>
      </c>
      <c r="O245">
        <f>VLOOKUP(C245,[12]Sheet1!$A:$B,2,FALSE)</f>
        <v>23</v>
      </c>
    </row>
    <row r="246" spans="1:15" ht="22.2" customHeight="1">
      <c r="A246" t="s">
        <v>310</v>
      </c>
      <c r="B246" t="s">
        <v>56</v>
      </c>
      <c r="C246" t="s">
        <v>199</v>
      </c>
      <c r="D246">
        <f>VLOOKUP(B246,[10]Sheet1!$A:$B,2,FALSE)</f>
        <v>2</v>
      </c>
      <c r="E246">
        <f>VLOOKUP(C246,[10]Sheet1!$A:$B,2,FALSE)</f>
        <v>22</v>
      </c>
      <c r="F246">
        <f>VLOOKUP(B246,[11]Sheet1!$A:$C,2,FALSE)</f>
        <v>2</v>
      </c>
      <c r="G246">
        <f>VLOOKUP(B246,[11]Sheet1!$A:$C,3,FALSE)</f>
        <v>4</v>
      </c>
      <c r="H246">
        <f>VLOOKUP(C246,[11]Sheet1!$A:$C,2,FALSE)</f>
        <v>0</v>
      </c>
      <c r="I246">
        <f>VLOOKUP(C246,[11]Sheet1!$A:$C,3,FALSE)</f>
        <v>1</v>
      </c>
      <c r="M246">
        <v>1</v>
      </c>
      <c r="N246" s="2">
        <f>VLOOKUP(B246,[12]Sheet1!$A:$B,2,FALSE)</f>
        <v>1</v>
      </c>
      <c r="O246">
        <f>VLOOKUP(C246,[12]Sheet1!$A:$B,2,FALSE)</f>
        <v>26</v>
      </c>
    </row>
    <row r="247" spans="1:15" ht="22.2" customHeight="1">
      <c r="A247" t="s">
        <v>311</v>
      </c>
      <c r="B247" t="s">
        <v>63</v>
      </c>
      <c r="C247" t="s">
        <v>154</v>
      </c>
      <c r="D247">
        <f>VLOOKUP(B247,[10]Sheet1!$A:$B,2,FALSE)</f>
        <v>5</v>
      </c>
      <c r="E247">
        <f>VLOOKUP(C247,[10]Sheet1!$A:$B,2,FALSE)</f>
        <v>6</v>
      </c>
      <c r="F247">
        <f>VLOOKUP(B247,[11]Sheet1!$A:$C,2,FALSE)</f>
        <v>2</v>
      </c>
      <c r="G247">
        <f>VLOOKUP(B247,[11]Sheet1!$A:$C,3,FALSE)</f>
        <v>4</v>
      </c>
      <c r="H247">
        <f>VLOOKUP(C247,[11]Sheet1!$A:$C,2,FALSE)</f>
        <v>0</v>
      </c>
      <c r="I247">
        <f>VLOOKUP(C247,[11]Sheet1!$A:$C,3,FALSE)</f>
        <v>1</v>
      </c>
      <c r="M247">
        <v>1</v>
      </c>
      <c r="N247" s="2">
        <f>VLOOKUP(B247,[12]Sheet1!$A:$B,2,FALSE)</f>
        <v>6</v>
      </c>
      <c r="O247">
        <f>VLOOKUP(C247,[12]Sheet1!$A:$B,2,FALSE)</f>
        <v>11</v>
      </c>
    </row>
    <row r="248" spans="1:15" ht="22.2" customHeight="1">
      <c r="A248" t="s">
        <v>312</v>
      </c>
      <c r="B248" t="s">
        <v>84</v>
      </c>
      <c r="C248" t="s">
        <v>45</v>
      </c>
      <c r="D248">
        <f>VLOOKUP(B248,[10]Sheet1!$A:$B,2,FALSE)</f>
        <v>11</v>
      </c>
      <c r="E248">
        <f>VLOOKUP(C248,[10]Sheet1!$A:$B,2,FALSE)</f>
        <v>13</v>
      </c>
      <c r="F248">
        <f>VLOOKUP(B248,[11]Sheet1!$A:$C,2,FALSE)</f>
        <v>1</v>
      </c>
      <c r="G248">
        <f>VLOOKUP(B248,[11]Sheet1!$A:$C,3,FALSE)</f>
        <v>3</v>
      </c>
      <c r="H248">
        <f>VLOOKUP(C248,[11]Sheet1!$A:$C,2,FALSE)</f>
        <v>0</v>
      </c>
      <c r="I248">
        <f>VLOOKUP(C248,[11]Sheet1!$A:$C,3,FALSE)</f>
        <v>1</v>
      </c>
      <c r="M248">
        <v>1</v>
      </c>
      <c r="N248" s="2">
        <f>VLOOKUP(B248,[12]Sheet1!$A:$B,2,FALSE)</f>
        <v>9</v>
      </c>
      <c r="O248">
        <f>VLOOKUP(C248,[12]Sheet1!$A:$B,2,FALSE)</f>
        <v>16</v>
      </c>
    </row>
    <row r="249" spans="1:15" ht="22.2" customHeight="1">
      <c r="A249" t="s">
        <v>313</v>
      </c>
      <c r="B249" t="s">
        <v>29</v>
      </c>
      <c r="C249" t="s">
        <v>255</v>
      </c>
      <c r="D249">
        <f>VLOOKUP(B249,[10]Sheet1!$A:$B,2,FALSE)</f>
        <v>3</v>
      </c>
      <c r="E249">
        <f>VLOOKUP(C249,[10]Sheet1!$A:$B,2,FALSE)</f>
        <v>8</v>
      </c>
      <c r="F249">
        <f>VLOOKUP(B249,[11]Sheet1!$A:$C,2,FALSE)</f>
        <v>2</v>
      </c>
      <c r="G249">
        <f>VLOOKUP(B249,[11]Sheet1!$A:$C,3,FALSE)</f>
        <v>5</v>
      </c>
      <c r="H249">
        <f>VLOOKUP(C249,[11]Sheet1!$A:$C,2,FALSE)</f>
        <v>1</v>
      </c>
      <c r="I249">
        <f>VLOOKUP(C249,[11]Sheet1!$A:$C,3,FALSE)</f>
        <v>2</v>
      </c>
      <c r="M249">
        <v>1</v>
      </c>
      <c r="N249" s="2">
        <f>VLOOKUP(B249,[12]Sheet1!$A:$B,2,FALSE)</f>
        <v>5</v>
      </c>
      <c r="O249">
        <f>VLOOKUP(C249,[12]Sheet1!$A:$B,2,FALSE)</f>
        <v>12</v>
      </c>
    </row>
    <row r="250" spans="1:15" ht="22.2" customHeight="1">
      <c r="A250" t="s">
        <v>314</v>
      </c>
      <c r="B250" t="s">
        <v>9</v>
      </c>
      <c r="C250" t="s">
        <v>56</v>
      </c>
      <c r="D250">
        <f>VLOOKUP(B250,[10]Sheet1!$A:$B,2,FALSE)</f>
        <v>17</v>
      </c>
      <c r="E250">
        <f>VLOOKUP(C250,[10]Sheet1!$A:$B,2,FALSE)</f>
        <v>2</v>
      </c>
      <c r="F250">
        <f>VLOOKUP(B250,[11]Sheet1!$A:$C,2,FALSE)</f>
        <v>1</v>
      </c>
      <c r="G250">
        <f>VLOOKUP(B250,[11]Sheet1!$A:$C,3,FALSE)</f>
        <v>3</v>
      </c>
      <c r="H250">
        <f>VLOOKUP(C250,[11]Sheet1!$A:$C,2,FALSE)</f>
        <v>2</v>
      </c>
      <c r="I250">
        <f>VLOOKUP(C250,[11]Sheet1!$A:$C,3,FALSE)</f>
        <v>4</v>
      </c>
      <c r="M250">
        <v>-1</v>
      </c>
      <c r="N250" s="2">
        <f>VLOOKUP(B250,[12]Sheet1!$A:$B,2,FALSE)</f>
        <v>4</v>
      </c>
      <c r="O250">
        <f>VLOOKUP(C250,[12]Sheet1!$A:$B,2,FALSE)</f>
        <v>1</v>
      </c>
    </row>
    <row r="251" spans="1:15" ht="22.2" customHeight="1">
      <c r="A251" t="s">
        <v>315</v>
      </c>
      <c r="B251" t="s">
        <v>63</v>
      </c>
      <c r="C251" t="s">
        <v>84</v>
      </c>
      <c r="D251">
        <f>VLOOKUP(B251,[10]Sheet1!$A:$B,2,FALSE)</f>
        <v>5</v>
      </c>
      <c r="E251">
        <f>VLOOKUP(C251,[10]Sheet1!$A:$B,2,FALSE)</f>
        <v>11</v>
      </c>
      <c r="F251">
        <f>VLOOKUP(B251,[11]Sheet1!$A:$C,2,FALSE)</f>
        <v>2</v>
      </c>
      <c r="G251">
        <f>VLOOKUP(B251,[11]Sheet1!$A:$C,3,FALSE)</f>
        <v>4</v>
      </c>
      <c r="H251">
        <f>VLOOKUP(C251,[11]Sheet1!$A:$C,2,FALSE)</f>
        <v>1</v>
      </c>
      <c r="I251">
        <f>VLOOKUP(C251,[11]Sheet1!$A:$C,3,FALSE)</f>
        <v>3</v>
      </c>
      <c r="M251">
        <v>1</v>
      </c>
      <c r="N251" s="2">
        <f>VLOOKUP(B251,[12]Sheet1!$A:$B,2,FALSE)</f>
        <v>6</v>
      </c>
      <c r="O251">
        <f>VLOOKUP(C251,[12]Sheet1!$A:$B,2,FALSE)</f>
        <v>9</v>
      </c>
    </row>
    <row r="252" spans="1:15" ht="22.2" customHeight="1">
      <c r="A252" t="s">
        <v>316</v>
      </c>
      <c r="B252" t="s">
        <v>123</v>
      </c>
      <c r="C252" t="s">
        <v>33</v>
      </c>
      <c r="D252">
        <f>VLOOKUP(B252,[10]Sheet1!$A:$B,2,FALSE)</f>
        <v>15</v>
      </c>
      <c r="E252">
        <f>VLOOKUP(C252,[10]Sheet1!$A:$B,2,FALSE)</f>
        <v>28</v>
      </c>
      <c r="F252">
        <f>VLOOKUP(B252,[11]Sheet1!$A:$C,2,FALSE)</f>
        <v>2</v>
      </c>
      <c r="G252">
        <f>VLOOKUP(B252,[11]Sheet1!$A:$C,3,FALSE)</f>
        <v>4</v>
      </c>
      <c r="H252">
        <f>VLOOKUP(C252,[11]Sheet1!$A:$C,2,FALSE)</f>
        <v>0</v>
      </c>
      <c r="I252">
        <f>VLOOKUP(C252,[11]Sheet1!$A:$C,3,FALSE)</f>
        <v>1</v>
      </c>
      <c r="M252">
        <v>0</v>
      </c>
      <c r="N252" s="2">
        <f>VLOOKUP(B252,[12]Sheet1!$A:$B,2,FALSE)</f>
        <v>7</v>
      </c>
      <c r="O252">
        <f>VLOOKUP(C252,[12]Sheet1!$A:$B,2,FALSE)</f>
        <v>20</v>
      </c>
    </row>
    <row r="253" spans="1:15" ht="22.2" customHeight="1">
      <c r="A253" t="s">
        <v>317</v>
      </c>
      <c r="B253" t="s">
        <v>29</v>
      </c>
      <c r="C253" t="s">
        <v>56</v>
      </c>
      <c r="D253">
        <f>VLOOKUP(B253,[10]Sheet1!$A:$B,2,FALSE)</f>
        <v>3</v>
      </c>
      <c r="E253">
        <f>VLOOKUP(C253,[10]Sheet1!$A:$B,2,FALSE)</f>
        <v>2</v>
      </c>
      <c r="F253">
        <f>VLOOKUP(B253,[11]Sheet1!$A:$C,2,FALSE)</f>
        <v>2</v>
      </c>
      <c r="G253">
        <f>VLOOKUP(B253,[11]Sheet1!$A:$C,3,FALSE)</f>
        <v>5</v>
      </c>
      <c r="H253">
        <f>VLOOKUP(C253,[11]Sheet1!$A:$C,2,FALSE)</f>
        <v>2</v>
      </c>
      <c r="I253">
        <f>VLOOKUP(C253,[11]Sheet1!$A:$C,3,FALSE)</f>
        <v>4</v>
      </c>
      <c r="M253">
        <v>-1</v>
      </c>
      <c r="N253" s="2">
        <f>VLOOKUP(B253,[12]Sheet1!$A:$B,2,FALSE)</f>
        <v>5</v>
      </c>
      <c r="O253">
        <f>VLOOKUP(C253,[12]Sheet1!$A:$B,2,FALSE)</f>
        <v>1</v>
      </c>
    </row>
    <row r="254" spans="1:15" ht="22.2" customHeight="1">
      <c r="A254" t="s">
        <v>318</v>
      </c>
      <c r="B254" t="s">
        <v>123</v>
      </c>
      <c r="C254" t="s">
        <v>63</v>
      </c>
      <c r="D254">
        <f>VLOOKUP(B254,[10]Sheet1!$A:$B,2,FALSE)</f>
        <v>15</v>
      </c>
      <c r="E254">
        <f>VLOOKUP(C254,[10]Sheet1!$A:$B,2,FALSE)</f>
        <v>5</v>
      </c>
      <c r="F254">
        <f>VLOOKUP(B254,[11]Sheet1!$A:$C,2,FALSE)</f>
        <v>2</v>
      </c>
      <c r="G254">
        <f>VLOOKUP(B254,[11]Sheet1!$A:$C,3,FALSE)</f>
        <v>4</v>
      </c>
      <c r="H254">
        <f>VLOOKUP(C254,[11]Sheet1!$A:$C,2,FALSE)</f>
        <v>2</v>
      </c>
      <c r="I254">
        <f>VLOOKUP(C254,[11]Sheet1!$A:$C,3,FALSE)</f>
        <v>4</v>
      </c>
      <c r="M254">
        <v>0</v>
      </c>
      <c r="N254" s="2">
        <f>VLOOKUP(B254,[12]Sheet1!$A:$B,2,FALSE)</f>
        <v>7</v>
      </c>
      <c r="O254">
        <f>VLOOKUP(C254,[12]Sheet1!$A:$B,2,FALSE)</f>
        <v>6</v>
      </c>
    </row>
    <row r="255" spans="1:15" ht="22.2" customHeight="1">
      <c r="A255" t="s">
        <v>319</v>
      </c>
      <c r="B255" t="s">
        <v>29</v>
      </c>
      <c r="C255" t="s">
        <v>123</v>
      </c>
      <c r="D255">
        <f>VLOOKUP(B255,[10]Sheet1!$A:$B,2,FALSE)</f>
        <v>3</v>
      </c>
      <c r="E255">
        <f>VLOOKUP(C255,[10]Sheet1!$A:$B,2,FALSE)</f>
        <v>15</v>
      </c>
      <c r="F255">
        <f>VLOOKUP(B255,[11]Sheet1!$A:$C,2,FALSE)</f>
        <v>2</v>
      </c>
      <c r="G255">
        <f>VLOOKUP(B255,[11]Sheet1!$A:$C,3,FALSE)</f>
        <v>5</v>
      </c>
      <c r="H255">
        <f>VLOOKUP(C255,[11]Sheet1!$A:$C,2,FALSE)</f>
        <v>2</v>
      </c>
      <c r="I255">
        <f>VLOOKUP(C255,[11]Sheet1!$A:$C,3,FALSE)</f>
        <v>4</v>
      </c>
      <c r="M255">
        <v>-1</v>
      </c>
      <c r="N255" s="2">
        <f>VLOOKUP(B255,[12]Sheet1!$A:$B,2,FALSE)</f>
        <v>5</v>
      </c>
      <c r="O255">
        <f>VLOOKUP(C255,[12]Sheet1!$A:$B,2,FALSE)</f>
        <v>7</v>
      </c>
    </row>
    <row r="256" spans="1:15" ht="22.2" customHeight="1">
      <c r="A256" t="s">
        <v>320</v>
      </c>
      <c r="B256" t="s">
        <v>56</v>
      </c>
      <c r="C256" t="s">
        <v>63</v>
      </c>
      <c r="D256">
        <f>VLOOKUP(B256,[10]Sheet1!$A:$B,2,FALSE)</f>
        <v>2</v>
      </c>
      <c r="E256">
        <f>VLOOKUP(C256,[10]Sheet1!$A:$B,2,FALSE)</f>
        <v>5</v>
      </c>
      <c r="F256">
        <f>VLOOKUP(B256,[11]Sheet1!$A:$C,2,FALSE)</f>
        <v>2</v>
      </c>
      <c r="G256">
        <f>VLOOKUP(B256,[11]Sheet1!$A:$C,3,FALSE)</f>
        <v>4</v>
      </c>
      <c r="H256">
        <f>VLOOKUP(C256,[11]Sheet1!$A:$C,2,FALSE)</f>
        <v>2</v>
      </c>
      <c r="I256">
        <f>VLOOKUP(C256,[11]Sheet1!$A:$C,3,FALSE)</f>
        <v>4</v>
      </c>
      <c r="M256">
        <v>1</v>
      </c>
      <c r="N256" s="2">
        <f>VLOOKUP(B256,[12]Sheet1!$A:$B,2,FALSE)</f>
        <v>1</v>
      </c>
      <c r="O256">
        <f>VLOOKUP(C256,[12]Sheet1!$A:$B,2,FALSE)</f>
        <v>6</v>
      </c>
    </row>
    <row r="257" spans="1:15" ht="22.2" customHeight="1">
      <c r="A257" t="s">
        <v>328</v>
      </c>
      <c r="B257" t="s">
        <v>86</v>
      </c>
      <c r="C257" t="s">
        <v>322</v>
      </c>
      <c r="D257">
        <f>VLOOKUP(B257,[13]Sheet1!$A:$B,2,FALSE)</f>
        <v>70</v>
      </c>
      <c r="E257">
        <f>VLOOKUP(C257,[13]Sheet1!$A:$B,2,FALSE)</f>
        <v>67</v>
      </c>
      <c r="F257">
        <f>VLOOKUP(B257,[14]Sheet1!$A:$C,2,FALSE)</f>
        <v>1</v>
      </c>
      <c r="G257">
        <f>VLOOKUP(B257,[14]Sheet1!$A:$C,3,FALSE)</f>
        <v>1</v>
      </c>
      <c r="H257">
        <f>VLOOKUP(C257,[14]Sheet1!$A:$C,2,FALSE)</f>
        <v>0</v>
      </c>
      <c r="I257">
        <f>VLOOKUP(C257,[14]Sheet1!$A:$C,3,FALSE)</f>
        <v>0</v>
      </c>
      <c r="M257">
        <v>1</v>
      </c>
      <c r="N257" s="2">
        <f>VLOOKUP(B257,[15]Sheet1!$A:$B,2,FALSE)</f>
        <v>19</v>
      </c>
      <c r="O257">
        <f>VLOOKUP(C257,[15]Sheet1!$A:$B,2,FALSE)</f>
        <v>31</v>
      </c>
    </row>
    <row r="258" spans="1:15" ht="22.2" customHeight="1">
      <c r="A258" t="s">
        <v>329</v>
      </c>
      <c r="B258" t="s">
        <v>323</v>
      </c>
      <c r="C258" t="s">
        <v>11</v>
      </c>
      <c r="D258">
        <f>VLOOKUP(B258,[13]Sheet1!$A:$B,2,FALSE)</f>
        <v>45</v>
      </c>
      <c r="E258">
        <f>VLOOKUP(C258,[13]Sheet1!$A:$B,2,FALSE)</f>
        <v>14</v>
      </c>
      <c r="F258">
        <f>VLOOKUP(B258,[14]Sheet1!$A:$C,2,FALSE)</f>
        <v>2</v>
      </c>
      <c r="G258">
        <f>VLOOKUP(B258,[14]Sheet1!$A:$C,3,FALSE)</f>
        <v>2</v>
      </c>
      <c r="H258">
        <f>VLOOKUP(C258,[14]Sheet1!$A:$C,2,FALSE)</f>
        <v>3</v>
      </c>
      <c r="I258">
        <f>VLOOKUP(C258,[14]Sheet1!$A:$C,3,FALSE)</f>
        <v>4</v>
      </c>
      <c r="M258">
        <v>-1</v>
      </c>
      <c r="N258" s="2">
        <f>VLOOKUP(B258,[15]Sheet1!$A:$B,2,FALSE)</f>
        <v>20</v>
      </c>
      <c r="O258">
        <f>VLOOKUP(C258,[15]Sheet1!$A:$B,2,FALSE)</f>
        <v>10</v>
      </c>
    </row>
    <row r="259" spans="1:15" ht="22.2" customHeight="1">
      <c r="A259" t="s">
        <v>330</v>
      </c>
      <c r="B259" t="s">
        <v>324</v>
      </c>
      <c r="C259" t="s">
        <v>129</v>
      </c>
      <c r="D259">
        <f>VLOOKUP(B259,[13]Sheet1!$A:$B,2,FALSE)</f>
        <v>41</v>
      </c>
      <c r="E259">
        <f>VLOOKUP(C259,[13]Sheet1!$A:$B,2,FALSE)</f>
        <v>37</v>
      </c>
      <c r="F259">
        <f>VLOOKUP(B259,[14]Sheet1!$A:$C,2,FALSE)</f>
        <v>1</v>
      </c>
      <c r="G259">
        <f>VLOOKUP(B259,[14]Sheet1!$A:$C,3,FALSE)</f>
        <v>1</v>
      </c>
      <c r="H259">
        <f>VLOOKUP(C259,[14]Sheet1!$A:$C,2,FALSE)</f>
        <v>1</v>
      </c>
      <c r="I259">
        <f>VLOOKUP(C259,[14]Sheet1!$A:$C,3,FALSE)</f>
        <v>0</v>
      </c>
      <c r="M259">
        <v>-1</v>
      </c>
      <c r="N259" s="2">
        <f>VLOOKUP(B259,[15]Sheet1!$A:$B,2,FALSE)</f>
        <v>22</v>
      </c>
      <c r="O259">
        <f>VLOOKUP(C259,[15]Sheet1!$A:$B,2,FALSE)</f>
        <v>26</v>
      </c>
    </row>
    <row r="260" spans="1:15" ht="22.2" customHeight="1">
      <c r="A260" t="s">
        <v>331</v>
      </c>
      <c r="B260" t="s">
        <v>43</v>
      </c>
      <c r="C260" t="s">
        <v>22</v>
      </c>
      <c r="D260">
        <f>VLOOKUP(B260,[13]Sheet1!$A:$B,2,FALSE)</f>
        <v>4</v>
      </c>
      <c r="E260">
        <f>VLOOKUP(C260,[13]Sheet1!$A:$B,2,FALSE)</f>
        <v>10</v>
      </c>
      <c r="F260">
        <f>VLOOKUP(B260,[14]Sheet1!$A:$C,2,FALSE)</f>
        <v>3</v>
      </c>
      <c r="G260">
        <f>VLOOKUP(B260,[14]Sheet1!$A:$C,3,FALSE)</f>
        <v>4</v>
      </c>
      <c r="H260">
        <f>VLOOKUP(C260,[14]Sheet1!$A:$C,2,FALSE)</f>
        <v>6</v>
      </c>
      <c r="I260">
        <f>VLOOKUP(C260,[14]Sheet1!$A:$C,3,FALSE)</f>
        <v>9</v>
      </c>
      <c r="M260">
        <v>0</v>
      </c>
      <c r="N260" s="2">
        <f>VLOOKUP(B260,[15]Sheet1!$A:$B,2,FALSE)</f>
        <v>8</v>
      </c>
      <c r="O260">
        <f>VLOOKUP(C260,[15]Sheet1!$A:$B,2,FALSE)</f>
        <v>3</v>
      </c>
    </row>
    <row r="261" spans="1:15" ht="22.2" customHeight="1">
      <c r="A261" t="s">
        <v>332</v>
      </c>
      <c r="B261" t="s">
        <v>9</v>
      </c>
      <c r="C261" t="s">
        <v>145</v>
      </c>
      <c r="D261">
        <f>VLOOKUP(B261,[13]Sheet1!$A:$B,2,FALSE)</f>
        <v>7</v>
      </c>
      <c r="E261">
        <f>VLOOKUP(C261,[13]Sheet1!$A:$B,2,FALSE)</f>
        <v>36</v>
      </c>
      <c r="F261">
        <f>VLOOKUP(B261,[14]Sheet1!$A:$C,2,FALSE)</f>
        <v>6</v>
      </c>
      <c r="G261">
        <f>VLOOKUP(B261,[14]Sheet1!$A:$C,3,FALSE)</f>
        <v>8</v>
      </c>
      <c r="H261">
        <f>VLOOKUP(C261,[14]Sheet1!$A:$C,2,FALSE)</f>
        <v>1</v>
      </c>
      <c r="I261">
        <f>VLOOKUP(C261,[14]Sheet1!$A:$C,3,FALSE)</f>
        <v>0</v>
      </c>
      <c r="M261">
        <v>1</v>
      </c>
      <c r="N261" s="2">
        <f>VLOOKUP(B261,[15]Sheet1!$A:$B,2,FALSE)</f>
        <v>5</v>
      </c>
      <c r="O261">
        <f>VLOOKUP(C261,[15]Sheet1!$A:$B,2,FALSE)</f>
        <v>29</v>
      </c>
    </row>
    <row r="262" spans="1:15" ht="22.2" customHeight="1">
      <c r="A262" t="s">
        <v>333</v>
      </c>
      <c r="B262" t="s">
        <v>63</v>
      </c>
      <c r="C262" t="s">
        <v>325</v>
      </c>
      <c r="D262">
        <f>VLOOKUP(B262,[13]Sheet1!$A:$B,2,FALSE)</f>
        <v>5</v>
      </c>
      <c r="E262">
        <f>VLOOKUP(C262,[13]Sheet1!$A:$B,2,FALSE)</f>
        <v>22</v>
      </c>
      <c r="F262">
        <f>VLOOKUP(B262,[14]Sheet1!$A:$C,2,FALSE)</f>
        <v>4</v>
      </c>
      <c r="G262">
        <f>VLOOKUP(B262,[14]Sheet1!$A:$C,3,FALSE)</f>
        <v>5</v>
      </c>
      <c r="H262">
        <f>VLOOKUP(C262,[14]Sheet1!$A:$C,2,FALSE)</f>
        <v>1</v>
      </c>
      <c r="I262">
        <f>VLOOKUP(C262,[14]Sheet1!$A:$C,3,FALSE)</f>
        <v>0</v>
      </c>
      <c r="M262">
        <v>0</v>
      </c>
      <c r="N262" s="2">
        <f>VLOOKUP(B262,[15]Sheet1!$A:$B,2,FALSE)</f>
        <v>7</v>
      </c>
      <c r="O262">
        <f>VLOOKUP(C262,[15]Sheet1!$A:$B,2,FALSE)</f>
        <v>30</v>
      </c>
    </row>
    <row r="263" spans="1:15" ht="22.2" customHeight="1">
      <c r="A263" t="s">
        <v>334</v>
      </c>
      <c r="B263" t="s">
        <v>326</v>
      </c>
      <c r="C263" t="s">
        <v>12</v>
      </c>
      <c r="D263">
        <f>VLOOKUP(B263,[13]Sheet1!$A:$B,2,FALSE)</f>
        <v>11</v>
      </c>
      <c r="E263">
        <f>VLOOKUP(C263,[13]Sheet1!$A:$B,2,FALSE)</f>
        <v>12</v>
      </c>
      <c r="F263">
        <f>VLOOKUP(B263,[14]Sheet1!$A:$C,2,FALSE)</f>
        <v>1</v>
      </c>
      <c r="G263">
        <f>VLOOKUP(B263,[14]Sheet1!$A:$C,3,FALSE)</f>
        <v>1</v>
      </c>
      <c r="H263">
        <f>VLOOKUP(C263,[14]Sheet1!$A:$C,2,FALSE)</f>
        <v>2</v>
      </c>
      <c r="I263">
        <f>VLOOKUP(C263,[14]Sheet1!$A:$C,3,FALSE)</f>
        <v>2</v>
      </c>
      <c r="M263">
        <v>-1</v>
      </c>
      <c r="N263" s="2">
        <f>VLOOKUP(B263,[15]Sheet1!$A:$B,2,FALSE)</f>
        <v>23</v>
      </c>
      <c r="O263">
        <f>VLOOKUP(C263,[15]Sheet1!$A:$B,2,FALSE)</f>
        <v>18</v>
      </c>
    </row>
    <row r="264" spans="1:15" ht="22.2" customHeight="1">
      <c r="A264" t="s">
        <v>335</v>
      </c>
      <c r="B264" t="s">
        <v>73</v>
      </c>
      <c r="C264" t="s">
        <v>64</v>
      </c>
      <c r="D264">
        <f>VLOOKUP(B264,[13]Sheet1!$A:$B,2,FALSE)</f>
        <v>20</v>
      </c>
      <c r="E264">
        <f>VLOOKUP(C264,[13]Sheet1!$A:$B,2,FALSE)</f>
        <v>48</v>
      </c>
      <c r="F264">
        <f>VLOOKUP(B264,[14]Sheet1!$A:$C,2,FALSE)</f>
        <v>4</v>
      </c>
      <c r="G264">
        <f>VLOOKUP(B264,[14]Sheet1!$A:$C,3,FALSE)</f>
        <v>5</v>
      </c>
      <c r="H264">
        <f>VLOOKUP(C264,[14]Sheet1!$A:$C,2,FALSE)</f>
        <v>2</v>
      </c>
      <c r="I264">
        <f>VLOOKUP(C264,[14]Sheet1!$A:$C,3,FALSE)</f>
        <v>2</v>
      </c>
      <c r="M264">
        <v>1</v>
      </c>
      <c r="N264" s="2">
        <f>VLOOKUP(B264,[15]Sheet1!$A:$B,2,FALSE)</f>
        <v>13</v>
      </c>
      <c r="O264">
        <f>VLOOKUP(C264,[15]Sheet1!$A:$B,2,FALSE)</f>
        <v>21</v>
      </c>
    </row>
    <row r="265" spans="1:15" ht="22.2" customHeight="1">
      <c r="A265" t="s">
        <v>336</v>
      </c>
      <c r="B265" t="s">
        <v>33</v>
      </c>
      <c r="C265" t="s">
        <v>122</v>
      </c>
      <c r="D265">
        <f>VLOOKUP(B265,[13]Sheet1!$A:$B,2,FALSE)</f>
        <v>23</v>
      </c>
      <c r="E265">
        <f>VLOOKUP(C265,[13]Sheet1!$A:$B,2,FALSE)</f>
        <v>34</v>
      </c>
      <c r="F265">
        <f>VLOOKUP(B265,[14]Sheet1!$A:$C,2,FALSE)</f>
        <v>2</v>
      </c>
      <c r="G265">
        <f>VLOOKUP(B265,[14]Sheet1!$A:$C,3,FALSE)</f>
        <v>2</v>
      </c>
      <c r="H265">
        <f>VLOOKUP(C265,[14]Sheet1!$A:$C,2,FALSE)</f>
        <v>1</v>
      </c>
      <c r="I265">
        <f>VLOOKUP(C265,[14]Sheet1!$A:$C,3,FALSE)</f>
        <v>1</v>
      </c>
      <c r="M265">
        <v>-1</v>
      </c>
      <c r="N265" s="2">
        <f>VLOOKUP(B265,[15]Sheet1!$A:$B,2,FALSE)</f>
        <v>11</v>
      </c>
      <c r="O265">
        <f>VLOOKUP(C265,[15]Sheet1!$A:$B,2,FALSE)</f>
        <v>27</v>
      </c>
    </row>
    <row r="266" spans="1:15" ht="22.2" customHeight="1">
      <c r="A266" t="s">
        <v>337</v>
      </c>
      <c r="B266" t="s">
        <v>56</v>
      </c>
      <c r="C266" t="s">
        <v>74</v>
      </c>
      <c r="D266">
        <f>VLOOKUP(B266,[13]Sheet1!$A:$B,2,FALSE)</f>
        <v>1</v>
      </c>
      <c r="E266">
        <f>VLOOKUP(C266,[13]Sheet1!$A:$B,2,FALSE)</f>
        <v>15</v>
      </c>
      <c r="F266">
        <f>VLOOKUP(B266,[14]Sheet1!$A:$C,2,FALSE)</f>
        <v>6</v>
      </c>
      <c r="G266">
        <f>VLOOKUP(B266,[14]Sheet1!$A:$C,3,FALSE)</f>
        <v>9</v>
      </c>
      <c r="H266">
        <f>VLOOKUP(C266,[14]Sheet1!$A:$C,2,FALSE)</f>
        <v>2</v>
      </c>
      <c r="I266">
        <f>VLOOKUP(C266,[14]Sheet1!$A:$C,3,FALSE)</f>
        <v>2</v>
      </c>
      <c r="M266">
        <v>-1</v>
      </c>
      <c r="N266" s="2">
        <f>VLOOKUP(B266,[15]Sheet1!$A:$B,2,FALSE)</f>
        <v>2</v>
      </c>
      <c r="O266">
        <f>VLOOKUP(C266,[15]Sheet1!$A:$B,2,FALSE)</f>
        <v>14</v>
      </c>
    </row>
    <row r="267" spans="1:15" ht="22.2" customHeight="1">
      <c r="A267" t="s">
        <v>338</v>
      </c>
      <c r="B267" t="s">
        <v>29</v>
      </c>
      <c r="C267" t="s">
        <v>154</v>
      </c>
      <c r="D267">
        <f>VLOOKUP(B267,[13]Sheet1!$A:$B,2,FALSE)</f>
        <v>2</v>
      </c>
      <c r="E267">
        <f>VLOOKUP(C267,[13]Sheet1!$A:$B,2,FALSE)</f>
        <v>6</v>
      </c>
      <c r="F267">
        <f>VLOOKUP(B267,[14]Sheet1!$A:$C,2,FALSE)</f>
        <v>7</v>
      </c>
      <c r="G267">
        <f>VLOOKUP(B267,[14]Sheet1!$A:$C,3,FALSE)</f>
        <v>10</v>
      </c>
      <c r="H267">
        <f>VLOOKUP(C267,[14]Sheet1!$A:$C,2,FALSE)</f>
        <v>2</v>
      </c>
      <c r="I267">
        <f>VLOOKUP(C267,[14]Sheet1!$A:$C,3,FALSE)</f>
        <v>3</v>
      </c>
      <c r="M267">
        <v>0</v>
      </c>
      <c r="N267" s="2">
        <f>VLOOKUP(B267,[15]Sheet1!$A:$B,2,FALSE)</f>
        <v>4</v>
      </c>
      <c r="O267">
        <f>VLOOKUP(C267,[15]Sheet1!$A:$B,2,FALSE)</f>
        <v>6</v>
      </c>
    </row>
    <row r="268" spans="1:15" ht="22.2" customHeight="1">
      <c r="A268" t="s">
        <v>339</v>
      </c>
      <c r="B268" t="s">
        <v>67</v>
      </c>
      <c r="C268" t="s">
        <v>39</v>
      </c>
      <c r="D268">
        <f>VLOOKUP(B268,[13]Sheet1!$A:$B,2,FALSE)</f>
        <v>24</v>
      </c>
      <c r="E268">
        <f>VLOOKUP(C268,[13]Sheet1!$A:$B,2,FALSE)</f>
        <v>57</v>
      </c>
      <c r="F268">
        <f>VLOOKUP(B268,[14]Sheet1!$A:$C,2,FALSE)</f>
        <v>2</v>
      </c>
      <c r="G268">
        <f>VLOOKUP(B268,[14]Sheet1!$A:$C,3,FALSE)</f>
        <v>2</v>
      </c>
      <c r="H268">
        <f>VLOOKUP(C268,[14]Sheet1!$A:$C,2,FALSE)</f>
        <v>2</v>
      </c>
      <c r="I268">
        <f>VLOOKUP(C268,[14]Sheet1!$A:$C,3,FALSE)</f>
        <v>2</v>
      </c>
      <c r="M268">
        <v>1</v>
      </c>
      <c r="N268" s="2">
        <f>VLOOKUP(B268,[15]Sheet1!$A:$B,2,FALSE)</f>
        <v>15</v>
      </c>
      <c r="O268">
        <f>VLOOKUP(C268,[15]Sheet1!$A:$B,2,FALSE)</f>
        <v>25</v>
      </c>
    </row>
    <row r="269" spans="1:15" ht="22.2" customHeight="1">
      <c r="A269" t="s">
        <v>340</v>
      </c>
      <c r="B269" t="s">
        <v>84</v>
      </c>
      <c r="C269" t="s">
        <v>327</v>
      </c>
      <c r="D269">
        <f>VLOOKUP(B269,[13]Sheet1!$A:$B,2,FALSE)</f>
        <v>3</v>
      </c>
      <c r="E269">
        <f>VLOOKUP(C269,[13]Sheet1!$A:$B,2,FALSE)</f>
        <v>55</v>
      </c>
      <c r="F269">
        <f>VLOOKUP(B269,[14]Sheet1!$A:$C,2,FALSE)</f>
        <v>6</v>
      </c>
      <c r="G269">
        <f>VLOOKUP(B269,[14]Sheet1!$A:$C,3,FALSE)</f>
        <v>8</v>
      </c>
      <c r="H269">
        <f>VLOOKUP(C269,[14]Sheet1!$A:$C,2,FALSE)</f>
        <v>0</v>
      </c>
      <c r="I269">
        <f>VLOOKUP(C269,[14]Sheet1!$A:$C,3,FALSE)</f>
        <v>0</v>
      </c>
      <c r="M269">
        <v>1</v>
      </c>
      <c r="N269" s="2">
        <f>VLOOKUP(B269,[15]Sheet1!$A:$B,2,FALSE)</f>
        <v>1</v>
      </c>
      <c r="O269">
        <f>VLOOKUP(C269,[15]Sheet1!$A:$B,2,FALSE)</f>
        <v>32</v>
      </c>
    </row>
    <row r="270" spans="1:15" ht="22.2" customHeight="1">
      <c r="A270" t="s">
        <v>341</v>
      </c>
      <c r="B270" t="s">
        <v>87</v>
      </c>
      <c r="C270" t="s">
        <v>66</v>
      </c>
      <c r="D270">
        <f>VLOOKUP(B270,[13]Sheet1!$A:$B,2,FALSE)</f>
        <v>21</v>
      </c>
      <c r="E270">
        <f>VLOOKUP(C270,[13]Sheet1!$A:$B,2,FALSE)</f>
        <v>12</v>
      </c>
      <c r="F270">
        <f>VLOOKUP(B270,[14]Sheet1!$A:$C,2,FALSE)</f>
        <v>1</v>
      </c>
      <c r="G270">
        <f>VLOOKUP(B270,[14]Sheet1!$A:$C,3,FALSE)</f>
        <v>0</v>
      </c>
      <c r="H270">
        <f>VLOOKUP(C270,[14]Sheet1!$A:$C,2,FALSE)</f>
        <v>4</v>
      </c>
      <c r="I270">
        <f>VLOOKUP(C270,[14]Sheet1!$A:$C,3,FALSE)</f>
        <v>6</v>
      </c>
      <c r="M270">
        <v>-1</v>
      </c>
      <c r="N270" s="2">
        <f>VLOOKUP(B270,[15]Sheet1!$A:$B,2,FALSE)</f>
        <v>28</v>
      </c>
      <c r="O270">
        <f>VLOOKUP(C270,[15]Sheet1!$A:$B,2,FALSE)</f>
        <v>9</v>
      </c>
    </row>
    <row r="271" spans="1:15" ht="22.2" customHeight="1">
      <c r="A271" t="s">
        <v>342</v>
      </c>
      <c r="B271" t="s">
        <v>255</v>
      </c>
      <c r="C271" t="s">
        <v>83</v>
      </c>
      <c r="D271">
        <f>VLOOKUP(B271,[13]Sheet1!$A:$B,2,FALSE)</f>
        <v>16</v>
      </c>
      <c r="E271">
        <f>VLOOKUP(C271,[13]Sheet1!$A:$B,2,FALSE)</f>
        <v>61</v>
      </c>
      <c r="F271">
        <f>VLOOKUP(B271,[14]Sheet1!$A:$C,2,FALSE)</f>
        <v>3</v>
      </c>
      <c r="G271">
        <f>VLOOKUP(B271,[14]Sheet1!$A:$C,3,FALSE)</f>
        <v>4</v>
      </c>
      <c r="H271">
        <f>VLOOKUP(C271,[14]Sheet1!$A:$C,2,FALSE)</f>
        <v>1</v>
      </c>
      <c r="I271">
        <f>VLOOKUP(C271,[14]Sheet1!$A:$C,3,FALSE)</f>
        <v>1</v>
      </c>
      <c r="M271">
        <v>-1</v>
      </c>
      <c r="N271" s="2">
        <f>VLOOKUP(B271,[15]Sheet1!$A:$B,2,FALSE)</f>
        <v>16</v>
      </c>
      <c r="O271">
        <f>VLOOKUP(C271,[15]Sheet1!$A:$B,2,FALSE)</f>
        <v>24</v>
      </c>
    </row>
    <row r="272" spans="1:15" ht="22.2" customHeight="1">
      <c r="A272" t="s">
        <v>343</v>
      </c>
      <c r="B272" t="s">
        <v>40</v>
      </c>
      <c r="C272" t="s">
        <v>10</v>
      </c>
      <c r="D272">
        <f>VLOOKUP(B272,[13]Sheet1!$A:$B,2,FALSE)</f>
        <v>8</v>
      </c>
      <c r="E272">
        <f>VLOOKUP(C272,[13]Sheet1!$A:$B,2,FALSE)</f>
        <v>27</v>
      </c>
      <c r="F272">
        <f>VLOOKUP(B272,[14]Sheet1!$A:$C,2,FALSE)</f>
        <v>2</v>
      </c>
      <c r="G272">
        <f>VLOOKUP(B272,[14]Sheet1!$A:$C,3,FALSE)</f>
        <v>2</v>
      </c>
      <c r="H272">
        <f>VLOOKUP(C272,[14]Sheet1!$A:$C,2,FALSE)</f>
        <v>2</v>
      </c>
      <c r="I272">
        <f>VLOOKUP(C272,[14]Sheet1!$A:$C,3,FALSE)</f>
        <v>2</v>
      </c>
      <c r="M272">
        <v>-1</v>
      </c>
      <c r="N272" s="2">
        <f>VLOOKUP(B272,[15]Sheet1!$A:$B,2,FALSE)</f>
        <v>12</v>
      </c>
      <c r="O272">
        <f>VLOOKUP(C272,[15]Sheet1!$A:$B,2,FALSE)</f>
        <v>17</v>
      </c>
    </row>
    <row r="273" spans="1:15" ht="22.2" customHeight="1">
      <c r="A273" t="s">
        <v>344</v>
      </c>
      <c r="B273" t="s">
        <v>86</v>
      </c>
      <c r="C273" t="s">
        <v>323</v>
      </c>
      <c r="D273">
        <f>VLOOKUP(B273,[13]Sheet1!$A:$B,2,FALSE)</f>
        <v>70</v>
      </c>
      <c r="E273">
        <f>VLOOKUP(C273,[13]Sheet1!$A:$B,2,FALSE)</f>
        <v>45</v>
      </c>
      <c r="F273">
        <f>VLOOKUP(B273,[14]Sheet1!$A:$C,2,FALSE)</f>
        <v>1</v>
      </c>
      <c r="G273">
        <f>VLOOKUP(B273,[14]Sheet1!$A:$C,3,FALSE)</f>
        <v>1</v>
      </c>
      <c r="H273">
        <f>VLOOKUP(C273,[14]Sheet1!$A:$C,2,FALSE)</f>
        <v>2</v>
      </c>
      <c r="I273">
        <f>VLOOKUP(C273,[14]Sheet1!$A:$C,3,FALSE)</f>
        <v>2</v>
      </c>
      <c r="M273">
        <v>1</v>
      </c>
      <c r="N273" s="2">
        <f>VLOOKUP(B273,[15]Sheet1!$A:$B,2,FALSE)</f>
        <v>19</v>
      </c>
      <c r="O273">
        <f>VLOOKUP(C273,[15]Sheet1!$A:$B,2,FALSE)</f>
        <v>20</v>
      </c>
    </row>
    <row r="274" spans="1:15" ht="22.2" customHeight="1">
      <c r="A274" t="s">
        <v>345</v>
      </c>
      <c r="B274" t="s">
        <v>43</v>
      </c>
      <c r="C274" t="s">
        <v>324</v>
      </c>
      <c r="D274">
        <f>VLOOKUP(B274,[13]Sheet1!$A:$B,2,FALSE)</f>
        <v>4</v>
      </c>
      <c r="E274">
        <f>VLOOKUP(C274,[13]Sheet1!$A:$B,2,FALSE)</f>
        <v>41</v>
      </c>
      <c r="F274">
        <f>VLOOKUP(B274,[14]Sheet1!$A:$C,2,FALSE)</f>
        <v>3</v>
      </c>
      <c r="G274">
        <f>VLOOKUP(B274,[14]Sheet1!$A:$C,3,FALSE)</f>
        <v>4</v>
      </c>
      <c r="H274">
        <f>VLOOKUP(C274,[14]Sheet1!$A:$C,2,FALSE)</f>
        <v>1</v>
      </c>
      <c r="I274">
        <f>VLOOKUP(C274,[14]Sheet1!$A:$C,3,FALSE)</f>
        <v>1</v>
      </c>
      <c r="M274">
        <v>1</v>
      </c>
      <c r="N274" s="2">
        <f>VLOOKUP(B274,[15]Sheet1!$A:$B,2,FALSE)</f>
        <v>8</v>
      </c>
      <c r="O274">
        <f>VLOOKUP(C274,[15]Sheet1!$A:$B,2,FALSE)</f>
        <v>22</v>
      </c>
    </row>
    <row r="275" spans="1:15" ht="22.2" customHeight="1">
      <c r="A275" t="s">
        <v>346</v>
      </c>
      <c r="B275" t="s">
        <v>11</v>
      </c>
      <c r="C275" t="s">
        <v>322</v>
      </c>
      <c r="D275">
        <f>VLOOKUP(B275,[13]Sheet1!$A:$B,2,FALSE)</f>
        <v>14</v>
      </c>
      <c r="E275">
        <f>VLOOKUP(C275,[13]Sheet1!$A:$B,2,FALSE)</f>
        <v>67</v>
      </c>
      <c r="F275">
        <f>VLOOKUP(B275,[14]Sheet1!$A:$C,2,FALSE)</f>
        <v>3</v>
      </c>
      <c r="G275">
        <f>VLOOKUP(B275,[14]Sheet1!$A:$C,3,FALSE)</f>
        <v>4</v>
      </c>
      <c r="H275">
        <f>VLOOKUP(C275,[14]Sheet1!$A:$C,2,FALSE)</f>
        <v>0</v>
      </c>
      <c r="I275">
        <f>VLOOKUP(C275,[14]Sheet1!$A:$C,3,FALSE)</f>
        <v>0</v>
      </c>
      <c r="M275">
        <v>1</v>
      </c>
      <c r="N275" s="2">
        <f>VLOOKUP(B275,[15]Sheet1!$A:$B,2,FALSE)</f>
        <v>10</v>
      </c>
      <c r="O275">
        <f>VLOOKUP(C275,[15]Sheet1!$A:$B,2,FALSE)</f>
        <v>31</v>
      </c>
    </row>
    <row r="276" spans="1:15" ht="22.2" customHeight="1">
      <c r="A276" t="s">
        <v>347</v>
      </c>
      <c r="B276" t="s">
        <v>129</v>
      </c>
      <c r="C276" t="s">
        <v>22</v>
      </c>
      <c r="D276">
        <f>VLOOKUP(B276,[13]Sheet1!$A:$B,2,FALSE)</f>
        <v>37</v>
      </c>
      <c r="E276">
        <f>VLOOKUP(C276,[13]Sheet1!$A:$B,2,FALSE)</f>
        <v>10</v>
      </c>
      <c r="F276">
        <f>VLOOKUP(B276,[14]Sheet1!$A:$C,2,FALSE)</f>
        <v>1</v>
      </c>
      <c r="G276">
        <f>VLOOKUP(B276,[14]Sheet1!$A:$C,3,FALSE)</f>
        <v>0</v>
      </c>
      <c r="H276">
        <f>VLOOKUP(C276,[14]Sheet1!$A:$C,2,FALSE)</f>
        <v>6</v>
      </c>
      <c r="I276">
        <f>VLOOKUP(C276,[14]Sheet1!$A:$C,3,FALSE)</f>
        <v>9</v>
      </c>
      <c r="M276">
        <v>-1</v>
      </c>
      <c r="N276" s="2">
        <f>VLOOKUP(B276,[15]Sheet1!$A:$B,2,FALSE)</f>
        <v>26</v>
      </c>
      <c r="O276">
        <f>VLOOKUP(C276,[15]Sheet1!$A:$B,2,FALSE)</f>
        <v>3</v>
      </c>
    </row>
    <row r="277" spans="1:15" ht="22.2" customHeight="1">
      <c r="A277" t="s">
        <v>348</v>
      </c>
      <c r="B277" t="s">
        <v>12</v>
      </c>
      <c r="C277" t="s">
        <v>145</v>
      </c>
      <c r="D277">
        <f>VLOOKUP(B277,[13]Sheet1!$A:$B,2,FALSE)</f>
        <v>12</v>
      </c>
      <c r="E277">
        <f>VLOOKUP(C277,[13]Sheet1!$A:$B,2,FALSE)</f>
        <v>36</v>
      </c>
      <c r="F277">
        <f>VLOOKUP(B277,[14]Sheet1!$A:$C,2,FALSE)</f>
        <v>2</v>
      </c>
      <c r="G277">
        <f>VLOOKUP(B277,[14]Sheet1!$A:$C,3,FALSE)</f>
        <v>2</v>
      </c>
      <c r="H277">
        <f>VLOOKUP(C277,[14]Sheet1!$A:$C,2,FALSE)</f>
        <v>1</v>
      </c>
      <c r="I277">
        <f>VLOOKUP(C277,[14]Sheet1!$A:$C,3,FALSE)</f>
        <v>0</v>
      </c>
      <c r="M277">
        <v>0</v>
      </c>
      <c r="N277" s="2">
        <f>VLOOKUP(B277,[15]Sheet1!$A:$B,2,FALSE)</f>
        <v>18</v>
      </c>
      <c r="O277">
        <f>VLOOKUP(C277,[15]Sheet1!$A:$B,2,FALSE)</f>
        <v>29</v>
      </c>
    </row>
    <row r="278" spans="1:15" ht="22.2" customHeight="1">
      <c r="A278" t="s">
        <v>349</v>
      </c>
      <c r="B278" t="s">
        <v>9</v>
      </c>
      <c r="C278" t="s">
        <v>326</v>
      </c>
      <c r="D278">
        <f>VLOOKUP(B278,[13]Sheet1!$A:$B,2,FALSE)</f>
        <v>7</v>
      </c>
      <c r="E278">
        <f>VLOOKUP(C278,[13]Sheet1!$A:$B,2,FALSE)</f>
        <v>11</v>
      </c>
      <c r="F278">
        <f>VLOOKUP(B278,[14]Sheet1!$A:$C,2,FALSE)</f>
        <v>6</v>
      </c>
      <c r="G278">
        <f>VLOOKUP(B278,[14]Sheet1!$A:$C,3,FALSE)</f>
        <v>8</v>
      </c>
      <c r="H278">
        <f>VLOOKUP(C278,[14]Sheet1!$A:$C,2,FALSE)</f>
        <v>1</v>
      </c>
      <c r="I278">
        <f>VLOOKUP(C278,[14]Sheet1!$A:$C,3,FALSE)</f>
        <v>1</v>
      </c>
      <c r="M278">
        <v>1</v>
      </c>
      <c r="N278" s="2">
        <f>VLOOKUP(B278,[15]Sheet1!$A:$B,2,FALSE)</f>
        <v>5</v>
      </c>
      <c r="O278">
        <f>VLOOKUP(C278,[15]Sheet1!$A:$B,2,FALSE)</f>
        <v>23</v>
      </c>
    </row>
    <row r="279" spans="1:15" ht="22.2" customHeight="1">
      <c r="A279" t="s">
        <v>350</v>
      </c>
      <c r="B279" t="s">
        <v>63</v>
      </c>
      <c r="C279" t="s">
        <v>73</v>
      </c>
      <c r="D279">
        <f>VLOOKUP(B279,[13]Sheet1!$A:$B,2,FALSE)</f>
        <v>5</v>
      </c>
      <c r="E279">
        <f>VLOOKUP(C279,[13]Sheet1!$A:$B,2,FALSE)</f>
        <v>20</v>
      </c>
      <c r="F279">
        <f>VLOOKUP(B279,[14]Sheet1!$A:$C,2,FALSE)</f>
        <v>4</v>
      </c>
      <c r="G279">
        <f>VLOOKUP(B279,[14]Sheet1!$A:$C,3,FALSE)</f>
        <v>5</v>
      </c>
      <c r="H279">
        <f>VLOOKUP(C279,[14]Sheet1!$A:$C,2,FALSE)</f>
        <v>4</v>
      </c>
      <c r="I279">
        <f>VLOOKUP(C279,[14]Sheet1!$A:$C,3,FALSE)</f>
        <v>5</v>
      </c>
      <c r="M279">
        <v>-1</v>
      </c>
      <c r="N279" s="2">
        <f>VLOOKUP(B279,[15]Sheet1!$A:$B,2,FALSE)</f>
        <v>7</v>
      </c>
      <c r="O279">
        <f>VLOOKUP(C279,[15]Sheet1!$A:$B,2,FALSE)</f>
        <v>13</v>
      </c>
    </row>
    <row r="280" spans="1:15" ht="22.2" customHeight="1">
      <c r="A280" t="s">
        <v>351</v>
      </c>
      <c r="B280" t="s">
        <v>29</v>
      </c>
      <c r="C280" t="s">
        <v>33</v>
      </c>
      <c r="D280">
        <f>VLOOKUP(B280,[13]Sheet1!$A:$B,2,FALSE)</f>
        <v>2</v>
      </c>
      <c r="E280">
        <f>VLOOKUP(C280,[13]Sheet1!$A:$B,2,FALSE)</f>
        <v>23</v>
      </c>
      <c r="F280">
        <f>VLOOKUP(B280,[14]Sheet1!$A:$C,2,FALSE)</f>
        <v>7</v>
      </c>
      <c r="G280">
        <f>VLOOKUP(B280,[14]Sheet1!$A:$C,3,FALSE)</f>
        <v>10</v>
      </c>
      <c r="H280">
        <f>VLOOKUP(C280,[14]Sheet1!$A:$C,2,FALSE)</f>
        <v>2</v>
      </c>
      <c r="I280">
        <f>VLOOKUP(C280,[14]Sheet1!$A:$C,3,FALSE)</f>
        <v>2</v>
      </c>
      <c r="M280">
        <v>1</v>
      </c>
      <c r="N280" s="2">
        <f>VLOOKUP(B280,[15]Sheet1!$A:$B,2,FALSE)</f>
        <v>4</v>
      </c>
      <c r="O280">
        <f>VLOOKUP(C280,[15]Sheet1!$A:$B,2,FALSE)</f>
        <v>11</v>
      </c>
    </row>
    <row r="281" spans="1:15" ht="22.2" customHeight="1">
      <c r="A281" t="s">
        <v>352</v>
      </c>
      <c r="B281" t="s">
        <v>64</v>
      </c>
      <c r="C281" t="s">
        <v>325</v>
      </c>
      <c r="D281">
        <f>VLOOKUP(B281,[13]Sheet1!$A:$B,2,FALSE)</f>
        <v>48</v>
      </c>
      <c r="E281">
        <f>VLOOKUP(C281,[13]Sheet1!$A:$B,2,FALSE)</f>
        <v>22</v>
      </c>
      <c r="F281">
        <f>VLOOKUP(B281,[14]Sheet1!$A:$C,2,FALSE)</f>
        <v>2</v>
      </c>
      <c r="G281">
        <f>VLOOKUP(B281,[14]Sheet1!$A:$C,3,FALSE)</f>
        <v>2</v>
      </c>
      <c r="H281">
        <f>VLOOKUP(C281,[14]Sheet1!$A:$C,2,FALSE)</f>
        <v>1</v>
      </c>
      <c r="I281">
        <f>VLOOKUP(C281,[14]Sheet1!$A:$C,3,FALSE)</f>
        <v>0</v>
      </c>
      <c r="M281">
        <v>1</v>
      </c>
      <c r="N281" s="2">
        <f>VLOOKUP(B281,[15]Sheet1!$A:$B,2,FALSE)</f>
        <v>21</v>
      </c>
      <c r="O281">
        <f>VLOOKUP(C281,[15]Sheet1!$A:$B,2,FALSE)</f>
        <v>30</v>
      </c>
    </row>
    <row r="282" spans="1:15" ht="22.2" customHeight="1">
      <c r="A282" t="s">
        <v>353</v>
      </c>
      <c r="B282" t="s">
        <v>122</v>
      </c>
      <c r="C282" t="s">
        <v>154</v>
      </c>
      <c r="D282">
        <f>VLOOKUP(B282,[13]Sheet1!$A:$B,2,FALSE)</f>
        <v>34</v>
      </c>
      <c r="E282">
        <f>VLOOKUP(C282,[13]Sheet1!$A:$B,2,FALSE)</f>
        <v>6</v>
      </c>
      <c r="F282">
        <f>VLOOKUP(B282,[14]Sheet1!$A:$C,2,FALSE)</f>
        <v>1</v>
      </c>
      <c r="G282">
        <f>VLOOKUP(B282,[14]Sheet1!$A:$C,3,FALSE)</f>
        <v>1</v>
      </c>
      <c r="H282">
        <f>VLOOKUP(C282,[14]Sheet1!$A:$C,2,FALSE)</f>
        <v>2</v>
      </c>
      <c r="I282">
        <f>VLOOKUP(C282,[14]Sheet1!$A:$C,3,FALSE)</f>
        <v>3</v>
      </c>
      <c r="M282">
        <v>-1</v>
      </c>
      <c r="N282" s="2">
        <f>VLOOKUP(B282,[15]Sheet1!$A:$B,2,FALSE)</f>
        <v>27</v>
      </c>
      <c r="O282">
        <f>VLOOKUP(C282,[15]Sheet1!$A:$B,2,FALSE)</f>
        <v>6</v>
      </c>
    </row>
    <row r="283" spans="1:15" ht="22.2" customHeight="1">
      <c r="A283" t="s">
        <v>354</v>
      </c>
      <c r="B283" t="s">
        <v>84</v>
      </c>
      <c r="C283" t="s">
        <v>87</v>
      </c>
      <c r="D283">
        <f>VLOOKUP(B283,[13]Sheet1!$A:$B,2,FALSE)</f>
        <v>3</v>
      </c>
      <c r="E283">
        <f>VLOOKUP(C283,[13]Sheet1!$A:$B,2,FALSE)</f>
        <v>21</v>
      </c>
      <c r="F283">
        <f>VLOOKUP(B283,[14]Sheet1!$A:$C,2,FALSE)</f>
        <v>6</v>
      </c>
      <c r="G283">
        <f>VLOOKUP(B283,[14]Sheet1!$A:$C,3,FALSE)</f>
        <v>8</v>
      </c>
      <c r="H283">
        <f>VLOOKUP(C283,[14]Sheet1!$A:$C,2,FALSE)</f>
        <v>1</v>
      </c>
      <c r="I283">
        <f>VLOOKUP(C283,[14]Sheet1!$A:$C,3,FALSE)</f>
        <v>0</v>
      </c>
      <c r="M283">
        <v>1</v>
      </c>
      <c r="N283" s="2">
        <f>VLOOKUP(B283,[15]Sheet1!$A:$B,2,FALSE)</f>
        <v>1</v>
      </c>
      <c r="O283">
        <f>VLOOKUP(C283,[15]Sheet1!$A:$B,2,FALSE)</f>
        <v>28</v>
      </c>
    </row>
    <row r="284" spans="1:15" ht="22.2" customHeight="1">
      <c r="A284" t="s">
        <v>355</v>
      </c>
      <c r="B284" t="s">
        <v>39</v>
      </c>
      <c r="C284" t="s">
        <v>74</v>
      </c>
      <c r="D284">
        <f>VLOOKUP(B284,[13]Sheet1!$A:$B,2,FALSE)</f>
        <v>57</v>
      </c>
      <c r="E284">
        <f>VLOOKUP(C284,[13]Sheet1!$A:$B,2,FALSE)</f>
        <v>15</v>
      </c>
      <c r="F284">
        <f>VLOOKUP(B284,[14]Sheet1!$A:$C,2,FALSE)</f>
        <v>2</v>
      </c>
      <c r="G284">
        <f>VLOOKUP(B284,[14]Sheet1!$A:$C,3,FALSE)</f>
        <v>2</v>
      </c>
      <c r="H284">
        <f>VLOOKUP(C284,[14]Sheet1!$A:$C,2,FALSE)</f>
        <v>2</v>
      </c>
      <c r="I284">
        <f>VLOOKUP(C284,[14]Sheet1!$A:$C,3,FALSE)</f>
        <v>2</v>
      </c>
      <c r="M284">
        <v>-1</v>
      </c>
      <c r="N284" s="2">
        <f>VLOOKUP(B284,[15]Sheet1!$A:$B,2,FALSE)</f>
        <v>25</v>
      </c>
      <c r="O284">
        <f>VLOOKUP(C284,[15]Sheet1!$A:$B,2,FALSE)</f>
        <v>14</v>
      </c>
    </row>
    <row r="285" spans="1:15" ht="22.2" customHeight="1">
      <c r="A285" t="s">
        <v>356</v>
      </c>
      <c r="B285" t="s">
        <v>56</v>
      </c>
      <c r="C285" t="s">
        <v>67</v>
      </c>
      <c r="D285">
        <f>VLOOKUP(B285,[13]Sheet1!$A:$B,2,FALSE)</f>
        <v>1</v>
      </c>
      <c r="E285">
        <f>VLOOKUP(C285,[13]Sheet1!$A:$B,2,FALSE)</f>
        <v>24</v>
      </c>
      <c r="F285">
        <f>VLOOKUP(B285,[14]Sheet1!$A:$C,2,FALSE)</f>
        <v>6</v>
      </c>
      <c r="G285">
        <f>VLOOKUP(B285,[14]Sheet1!$A:$C,3,FALSE)</f>
        <v>9</v>
      </c>
      <c r="H285">
        <f>VLOOKUP(C285,[14]Sheet1!$A:$C,2,FALSE)</f>
        <v>2</v>
      </c>
      <c r="I285">
        <f>VLOOKUP(C285,[14]Sheet1!$A:$C,3,FALSE)</f>
        <v>2</v>
      </c>
      <c r="M285">
        <v>1</v>
      </c>
      <c r="N285" s="2">
        <f>VLOOKUP(B285,[15]Sheet1!$A:$B,2,FALSE)</f>
        <v>2</v>
      </c>
      <c r="O285">
        <f>VLOOKUP(C285,[15]Sheet1!$A:$B,2,FALSE)</f>
        <v>15</v>
      </c>
    </row>
    <row r="286" spans="1:15" ht="22.2" customHeight="1">
      <c r="A286" t="s">
        <v>357</v>
      </c>
      <c r="B286" t="s">
        <v>66</v>
      </c>
      <c r="C286" t="s">
        <v>327</v>
      </c>
      <c r="D286">
        <f>VLOOKUP(B286,[13]Sheet1!$A:$B,2,FALSE)</f>
        <v>12</v>
      </c>
      <c r="E286">
        <f>VLOOKUP(C286,[13]Sheet1!$A:$B,2,FALSE)</f>
        <v>55</v>
      </c>
      <c r="F286">
        <f>VLOOKUP(B286,[14]Sheet1!$A:$C,2,FALSE)</f>
        <v>4</v>
      </c>
      <c r="G286">
        <f>VLOOKUP(B286,[14]Sheet1!$A:$C,3,FALSE)</f>
        <v>6</v>
      </c>
      <c r="H286">
        <f>VLOOKUP(C286,[14]Sheet1!$A:$C,2,FALSE)</f>
        <v>0</v>
      </c>
      <c r="I286">
        <f>VLOOKUP(C286,[14]Sheet1!$A:$C,3,FALSE)</f>
        <v>0</v>
      </c>
      <c r="M286">
        <v>1</v>
      </c>
      <c r="N286" s="2">
        <f>VLOOKUP(B286,[15]Sheet1!$A:$B,2,FALSE)</f>
        <v>9</v>
      </c>
      <c r="O286">
        <f>VLOOKUP(C286,[15]Sheet1!$A:$B,2,FALSE)</f>
        <v>32</v>
      </c>
    </row>
    <row r="287" spans="1:15" ht="22.2" customHeight="1">
      <c r="A287" t="s">
        <v>358</v>
      </c>
      <c r="B287" t="s">
        <v>83</v>
      </c>
      <c r="C287" t="s">
        <v>10</v>
      </c>
      <c r="D287">
        <f>VLOOKUP(B287,[13]Sheet1!$A:$B,2,FALSE)</f>
        <v>61</v>
      </c>
      <c r="E287">
        <f>VLOOKUP(C287,[13]Sheet1!$A:$B,2,FALSE)</f>
        <v>27</v>
      </c>
      <c r="F287">
        <f>VLOOKUP(B287,[14]Sheet1!$A:$C,2,FALSE)</f>
        <v>1</v>
      </c>
      <c r="G287">
        <f>VLOOKUP(B287,[14]Sheet1!$A:$C,3,FALSE)</f>
        <v>1</v>
      </c>
      <c r="H287">
        <f>VLOOKUP(C287,[14]Sheet1!$A:$C,2,FALSE)</f>
        <v>2</v>
      </c>
      <c r="I287">
        <f>VLOOKUP(C287,[14]Sheet1!$A:$C,3,FALSE)</f>
        <v>2</v>
      </c>
      <c r="M287">
        <v>0</v>
      </c>
      <c r="N287" s="2">
        <f>VLOOKUP(B287,[15]Sheet1!$A:$B,2,FALSE)</f>
        <v>24</v>
      </c>
      <c r="O287">
        <f>VLOOKUP(C287,[15]Sheet1!$A:$B,2,FALSE)</f>
        <v>17</v>
      </c>
    </row>
    <row r="288" spans="1:15" ht="22.2" customHeight="1">
      <c r="A288" t="s">
        <v>359</v>
      </c>
      <c r="B288" t="s">
        <v>40</v>
      </c>
      <c r="C288" t="s">
        <v>255</v>
      </c>
      <c r="D288">
        <f>VLOOKUP(B288,[13]Sheet1!$A:$B,2,FALSE)</f>
        <v>8</v>
      </c>
      <c r="E288">
        <f>VLOOKUP(C288,[13]Sheet1!$A:$B,2,FALSE)</f>
        <v>16</v>
      </c>
      <c r="F288">
        <f>VLOOKUP(B288,[14]Sheet1!$A:$C,2,FALSE)</f>
        <v>2</v>
      </c>
      <c r="G288">
        <f>VLOOKUP(B288,[14]Sheet1!$A:$C,3,FALSE)</f>
        <v>2</v>
      </c>
      <c r="H288">
        <f>VLOOKUP(C288,[14]Sheet1!$A:$C,2,FALSE)</f>
        <v>3</v>
      </c>
      <c r="I288">
        <f>VLOOKUP(C288,[14]Sheet1!$A:$C,3,FALSE)</f>
        <v>4</v>
      </c>
      <c r="M288">
        <v>-1</v>
      </c>
      <c r="N288" s="2">
        <f>VLOOKUP(B288,[15]Sheet1!$A:$B,2,FALSE)</f>
        <v>12</v>
      </c>
      <c r="O288">
        <f>VLOOKUP(C288,[15]Sheet1!$A:$B,2,FALSE)</f>
        <v>16</v>
      </c>
    </row>
    <row r="289" spans="1:15" ht="22.2" customHeight="1">
      <c r="A289" t="s">
        <v>360</v>
      </c>
      <c r="B289" t="s">
        <v>86</v>
      </c>
      <c r="C289" t="s">
        <v>11</v>
      </c>
      <c r="D289">
        <f>VLOOKUP(B289,[13]Sheet1!$A:$B,2,FALSE)</f>
        <v>70</v>
      </c>
      <c r="E289">
        <f>VLOOKUP(C289,[13]Sheet1!$A:$B,2,FALSE)</f>
        <v>14</v>
      </c>
      <c r="F289">
        <f>VLOOKUP(B289,[14]Sheet1!$A:$C,2,FALSE)</f>
        <v>1</v>
      </c>
      <c r="G289">
        <f>VLOOKUP(B289,[14]Sheet1!$A:$C,3,FALSE)</f>
        <v>1</v>
      </c>
      <c r="H289">
        <f>VLOOKUP(C289,[14]Sheet1!$A:$C,2,FALSE)</f>
        <v>3</v>
      </c>
      <c r="I289">
        <f>VLOOKUP(C289,[14]Sheet1!$A:$C,3,FALSE)</f>
        <v>4</v>
      </c>
      <c r="M289">
        <v>-1</v>
      </c>
      <c r="N289" s="2">
        <f>VLOOKUP(B289,[15]Sheet1!$A:$B,2,FALSE)</f>
        <v>19</v>
      </c>
      <c r="O289">
        <f>VLOOKUP(C289,[15]Sheet1!$A:$B,2,FALSE)</f>
        <v>10</v>
      </c>
    </row>
    <row r="290" spans="1:15" ht="22.2" customHeight="1">
      <c r="A290" t="s">
        <v>361</v>
      </c>
      <c r="B290" t="s">
        <v>322</v>
      </c>
      <c r="C290" t="s">
        <v>323</v>
      </c>
      <c r="D290">
        <f>VLOOKUP(B290,[13]Sheet1!$A:$B,2,FALSE)</f>
        <v>67</v>
      </c>
      <c r="E290">
        <f>VLOOKUP(C290,[13]Sheet1!$A:$B,2,FALSE)</f>
        <v>45</v>
      </c>
      <c r="F290">
        <f>VLOOKUP(B290,[14]Sheet1!$A:$C,2,FALSE)</f>
        <v>0</v>
      </c>
      <c r="G290">
        <f>VLOOKUP(B290,[14]Sheet1!$A:$C,3,FALSE)</f>
        <v>0</v>
      </c>
      <c r="H290">
        <f>VLOOKUP(C290,[14]Sheet1!$A:$C,2,FALSE)</f>
        <v>2</v>
      </c>
      <c r="I290">
        <f>VLOOKUP(C290,[14]Sheet1!$A:$C,3,FALSE)</f>
        <v>2</v>
      </c>
      <c r="M290">
        <v>1</v>
      </c>
      <c r="N290" s="2">
        <f>VLOOKUP(B290,[15]Sheet1!$A:$B,2,FALSE)</f>
        <v>31</v>
      </c>
      <c r="O290">
        <f>VLOOKUP(C290,[15]Sheet1!$A:$B,2,FALSE)</f>
        <v>20</v>
      </c>
    </row>
    <row r="291" spans="1:15" ht="22.2" customHeight="1">
      <c r="A291" t="s">
        <v>362</v>
      </c>
      <c r="B291" t="s">
        <v>22</v>
      </c>
      <c r="C291" t="s">
        <v>324</v>
      </c>
      <c r="D291">
        <f>VLOOKUP(B291,[13]Sheet1!$A:$B,2,FALSE)</f>
        <v>10</v>
      </c>
      <c r="E291">
        <f>VLOOKUP(C291,[13]Sheet1!$A:$B,2,FALSE)</f>
        <v>41</v>
      </c>
      <c r="F291">
        <f>VLOOKUP(B291,[14]Sheet1!$A:$C,2,FALSE)</f>
        <v>6</v>
      </c>
      <c r="G291">
        <f>VLOOKUP(B291,[14]Sheet1!$A:$C,3,FALSE)</f>
        <v>9</v>
      </c>
      <c r="H291">
        <f>VLOOKUP(C291,[14]Sheet1!$A:$C,2,FALSE)</f>
        <v>1</v>
      </c>
      <c r="I291">
        <f>VLOOKUP(C291,[14]Sheet1!$A:$C,3,FALSE)</f>
        <v>1</v>
      </c>
      <c r="M291">
        <v>0</v>
      </c>
      <c r="N291" s="2">
        <f>VLOOKUP(B291,[15]Sheet1!$A:$B,2,FALSE)</f>
        <v>3</v>
      </c>
      <c r="O291">
        <f>VLOOKUP(C291,[15]Sheet1!$A:$B,2,FALSE)</f>
        <v>22</v>
      </c>
    </row>
    <row r="292" spans="1:15" ht="22.2" customHeight="1">
      <c r="A292" t="s">
        <v>363</v>
      </c>
      <c r="B292" t="s">
        <v>129</v>
      </c>
      <c r="C292" t="s">
        <v>43</v>
      </c>
      <c r="D292">
        <f>VLOOKUP(B292,[13]Sheet1!$A:$B,2,FALSE)</f>
        <v>37</v>
      </c>
      <c r="E292">
        <f>VLOOKUP(C292,[13]Sheet1!$A:$B,2,FALSE)</f>
        <v>4</v>
      </c>
      <c r="F292">
        <f>VLOOKUP(B292,[14]Sheet1!$A:$C,2,FALSE)</f>
        <v>1</v>
      </c>
      <c r="G292">
        <f>VLOOKUP(B292,[14]Sheet1!$A:$C,3,FALSE)</f>
        <v>0</v>
      </c>
      <c r="H292">
        <f>VLOOKUP(C292,[14]Sheet1!$A:$C,2,FALSE)</f>
        <v>3</v>
      </c>
      <c r="I292">
        <f>VLOOKUP(C292,[14]Sheet1!$A:$C,3,FALSE)</f>
        <v>4</v>
      </c>
      <c r="M292">
        <v>0</v>
      </c>
      <c r="N292" s="2">
        <f>VLOOKUP(B292,[15]Sheet1!$A:$B,2,FALSE)</f>
        <v>26</v>
      </c>
      <c r="O292">
        <f>VLOOKUP(C292,[15]Sheet1!$A:$B,2,FALSE)</f>
        <v>8</v>
      </c>
    </row>
    <row r="293" spans="1:15" ht="22.2" customHeight="1">
      <c r="A293" t="s">
        <v>364</v>
      </c>
      <c r="B293" t="s">
        <v>145</v>
      </c>
      <c r="C293" t="s">
        <v>326</v>
      </c>
      <c r="D293">
        <f>VLOOKUP(B293,[13]Sheet1!$A:$B,2,FALSE)</f>
        <v>36</v>
      </c>
      <c r="E293">
        <f>VLOOKUP(C293,[13]Sheet1!$A:$B,2,FALSE)</f>
        <v>11</v>
      </c>
      <c r="F293">
        <f>VLOOKUP(B293,[14]Sheet1!$A:$C,2,FALSE)</f>
        <v>1</v>
      </c>
      <c r="G293">
        <f>VLOOKUP(B293,[14]Sheet1!$A:$C,3,FALSE)</f>
        <v>0</v>
      </c>
      <c r="H293">
        <f>VLOOKUP(C293,[14]Sheet1!$A:$C,2,FALSE)</f>
        <v>1</v>
      </c>
      <c r="I293">
        <f>VLOOKUP(C293,[14]Sheet1!$A:$C,3,FALSE)</f>
        <v>1</v>
      </c>
      <c r="M293">
        <v>-1</v>
      </c>
      <c r="N293" s="2">
        <f>VLOOKUP(B293,[15]Sheet1!$A:$B,2,FALSE)</f>
        <v>29</v>
      </c>
      <c r="O293">
        <f>VLOOKUP(C293,[15]Sheet1!$A:$B,2,FALSE)</f>
        <v>23</v>
      </c>
    </row>
    <row r="294" spans="1:15" ht="22.2" customHeight="1">
      <c r="A294" t="s">
        <v>365</v>
      </c>
      <c r="B294" t="s">
        <v>12</v>
      </c>
      <c r="C294" t="s">
        <v>9</v>
      </c>
      <c r="D294">
        <f>VLOOKUP(B294,[13]Sheet1!$A:$B,2,FALSE)</f>
        <v>12</v>
      </c>
      <c r="E294">
        <f>VLOOKUP(C294,[13]Sheet1!$A:$B,2,FALSE)</f>
        <v>7</v>
      </c>
      <c r="F294">
        <f>VLOOKUP(B294,[14]Sheet1!$A:$C,2,FALSE)</f>
        <v>2</v>
      </c>
      <c r="G294">
        <f>VLOOKUP(B294,[14]Sheet1!$A:$C,3,FALSE)</f>
        <v>2</v>
      </c>
      <c r="H294">
        <f>VLOOKUP(C294,[14]Sheet1!$A:$C,2,FALSE)</f>
        <v>6</v>
      </c>
      <c r="I294">
        <f>VLOOKUP(C294,[14]Sheet1!$A:$C,3,FALSE)</f>
        <v>8</v>
      </c>
      <c r="M294">
        <v>0</v>
      </c>
      <c r="N294" s="2">
        <f>VLOOKUP(B294,[15]Sheet1!$A:$B,2,FALSE)</f>
        <v>18</v>
      </c>
      <c r="O294">
        <f>VLOOKUP(C294,[15]Sheet1!$A:$B,2,FALSE)</f>
        <v>5</v>
      </c>
    </row>
    <row r="295" spans="1:15" ht="22.2" customHeight="1">
      <c r="A295" t="s">
        <v>366</v>
      </c>
      <c r="B295" t="s">
        <v>64</v>
      </c>
      <c r="C295" t="s">
        <v>63</v>
      </c>
      <c r="D295">
        <f>VLOOKUP(B295,[13]Sheet1!$A:$B,2,FALSE)</f>
        <v>48</v>
      </c>
      <c r="E295">
        <f>VLOOKUP(C295,[13]Sheet1!$A:$B,2,FALSE)</f>
        <v>5</v>
      </c>
      <c r="F295">
        <f>VLOOKUP(B295,[14]Sheet1!$A:$C,2,FALSE)</f>
        <v>2</v>
      </c>
      <c r="G295">
        <f>VLOOKUP(B295,[14]Sheet1!$A:$C,3,FALSE)</f>
        <v>2</v>
      </c>
      <c r="H295">
        <f>VLOOKUP(C295,[14]Sheet1!$A:$C,2,FALSE)</f>
        <v>4</v>
      </c>
      <c r="I295">
        <f>VLOOKUP(C295,[14]Sheet1!$A:$C,3,FALSE)</f>
        <v>5</v>
      </c>
      <c r="M295">
        <v>-1</v>
      </c>
      <c r="N295" s="2">
        <f>VLOOKUP(B295,[15]Sheet1!$A:$B,2,FALSE)</f>
        <v>21</v>
      </c>
      <c r="O295">
        <f>VLOOKUP(C295,[15]Sheet1!$A:$B,2,FALSE)</f>
        <v>7</v>
      </c>
    </row>
    <row r="296" spans="1:15" ht="22.2" customHeight="1">
      <c r="A296" t="s">
        <v>367</v>
      </c>
      <c r="B296" t="s">
        <v>325</v>
      </c>
      <c r="C296" t="s">
        <v>73</v>
      </c>
      <c r="D296">
        <f>VLOOKUP(B296,[13]Sheet1!$A:$B,2,FALSE)</f>
        <v>22</v>
      </c>
      <c r="E296">
        <f>VLOOKUP(C296,[13]Sheet1!$A:$B,2,FALSE)</f>
        <v>20</v>
      </c>
      <c r="F296">
        <f>VLOOKUP(B296,[14]Sheet1!$A:$C,2,FALSE)</f>
        <v>1</v>
      </c>
      <c r="G296">
        <f>VLOOKUP(B296,[14]Sheet1!$A:$C,3,FALSE)</f>
        <v>0</v>
      </c>
      <c r="H296">
        <f>VLOOKUP(C296,[14]Sheet1!$A:$C,2,FALSE)</f>
        <v>4</v>
      </c>
      <c r="I296">
        <f>VLOOKUP(C296,[14]Sheet1!$A:$C,3,FALSE)</f>
        <v>5</v>
      </c>
      <c r="M296">
        <v>-1</v>
      </c>
      <c r="N296" s="2">
        <f>VLOOKUP(B296,[15]Sheet1!$A:$B,2,FALSE)</f>
        <v>30</v>
      </c>
      <c r="O296">
        <f>VLOOKUP(C296,[15]Sheet1!$A:$B,2,FALSE)</f>
        <v>13</v>
      </c>
    </row>
    <row r="297" spans="1:15" ht="22.2" customHeight="1">
      <c r="A297" t="s">
        <v>368</v>
      </c>
      <c r="B297" t="s">
        <v>39</v>
      </c>
      <c r="C297" t="s">
        <v>56</v>
      </c>
      <c r="D297">
        <f>VLOOKUP(B297,[13]Sheet1!$A:$B,2,FALSE)</f>
        <v>57</v>
      </c>
      <c r="E297">
        <f>VLOOKUP(C297,[13]Sheet1!$A:$B,2,FALSE)</f>
        <v>1</v>
      </c>
      <c r="F297">
        <f>VLOOKUP(B297,[14]Sheet1!$A:$C,2,FALSE)</f>
        <v>2</v>
      </c>
      <c r="G297">
        <f>VLOOKUP(B297,[14]Sheet1!$A:$C,3,FALSE)</f>
        <v>2</v>
      </c>
      <c r="H297">
        <f>VLOOKUP(C297,[14]Sheet1!$A:$C,2,FALSE)</f>
        <v>6</v>
      </c>
      <c r="I297">
        <f>VLOOKUP(C297,[14]Sheet1!$A:$C,3,FALSE)</f>
        <v>9</v>
      </c>
      <c r="M297">
        <v>1</v>
      </c>
      <c r="N297" s="2">
        <f>VLOOKUP(B297,[15]Sheet1!$A:$B,2,FALSE)</f>
        <v>25</v>
      </c>
      <c r="O297">
        <f>VLOOKUP(C297,[15]Sheet1!$A:$B,2,FALSE)</f>
        <v>2</v>
      </c>
    </row>
    <row r="298" spans="1:15" ht="22.2" customHeight="1">
      <c r="A298" t="s">
        <v>369</v>
      </c>
      <c r="B298" t="s">
        <v>74</v>
      </c>
      <c r="C298" t="s">
        <v>67</v>
      </c>
      <c r="D298">
        <f>VLOOKUP(B298,[13]Sheet1!$A:$B,2,FALSE)</f>
        <v>15</v>
      </c>
      <c r="E298">
        <f>VLOOKUP(C298,[13]Sheet1!$A:$B,2,FALSE)</f>
        <v>24</v>
      </c>
      <c r="F298">
        <f>VLOOKUP(B298,[14]Sheet1!$A:$C,2,FALSE)</f>
        <v>2</v>
      </c>
      <c r="G298">
        <f>VLOOKUP(B298,[14]Sheet1!$A:$C,3,FALSE)</f>
        <v>2</v>
      </c>
      <c r="H298">
        <f>VLOOKUP(C298,[14]Sheet1!$A:$C,2,FALSE)</f>
        <v>2</v>
      </c>
      <c r="I298">
        <f>VLOOKUP(C298,[14]Sheet1!$A:$C,3,FALSE)</f>
        <v>2</v>
      </c>
      <c r="M298">
        <v>-1</v>
      </c>
      <c r="N298" s="2">
        <f>VLOOKUP(B298,[15]Sheet1!$A:$B,2,FALSE)</f>
        <v>14</v>
      </c>
      <c r="O298">
        <f>VLOOKUP(C298,[15]Sheet1!$A:$B,2,FALSE)</f>
        <v>15</v>
      </c>
    </row>
    <row r="299" spans="1:15" ht="22.2" customHeight="1">
      <c r="A299" t="s">
        <v>370</v>
      </c>
      <c r="B299" t="s">
        <v>122</v>
      </c>
      <c r="C299" t="s">
        <v>29</v>
      </c>
      <c r="D299">
        <f>VLOOKUP(B299,[13]Sheet1!$A:$B,2,FALSE)</f>
        <v>34</v>
      </c>
      <c r="E299">
        <f>VLOOKUP(C299,[13]Sheet1!$A:$B,2,FALSE)</f>
        <v>2</v>
      </c>
      <c r="F299">
        <f>VLOOKUP(B299,[14]Sheet1!$A:$C,2,FALSE)</f>
        <v>1</v>
      </c>
      <c r="G299">
        <f>VLOOKUP(B299,[14]Sheet1!$A:$C,3,FALSE)</f>
        <v>1</v>
      </c>
      <c r="H299">
        <f>VLOOKUP(C299,[14]Sheet1!$A:$C,2,FALSE)</f>
        <v>7</v>
      </c>
      <c r="I299">
        <f>VLOOKUP(C299,[14]Sheet1!$A:$C,3,FALSE)</f>
        <v>10</v>
      </c>
      <c r="M299">
        <v>-1</v>
      </c>
      <c r="N299" s="2">
        <f>VLOOKUP(B299,[15]Sheet1!$A:$B,2,FALSE)</f>
        <v>27</v>
      </c>
      <c r="O299">
        <f>VLOOKUP(C299,[15]Sheet1!$A:$B,2,FALSE)</f>
        <v>4</v>
      </c>
    </row>
    <row r="300" spans="1:15" ht="22.2" customHeight="1">
      <c r="A300" t="s">
        <v>371</v>
      </c>
      <c r="B300" t="s">
        <v>154</v>
      </c>
      <c r="C300" t="s">
        <v>33</v>
      </c>
      <c r="D300">
        <f>VLOOKUP(B300,[13]Sheet1!$A:$B,2,FALSE)</f>
        <v>6</v>
      </c>
      <c r="E300">
        <f>VLOOKUP(C300,[13]Sheet1!$A:$B,2,FALSE)</f>
        <v>23</v>
      </c>
      <c r="F300">
        <f>VLOOKUP(B300,[14]Sheet1!$A:$C,2,FALSE)</f>
        <v>2</v>
      </c>
      <c r="G300">
        <f>VLOOKUP(B300,[14]Sheet1!$A:$C,3,FALSE)</f>
        <v>3</v>
      </c>
      <c r="H300">
        <f>VLOOKUP(C300,[14]Sheet1!$A:$C,2,FALSE)</f>
        <v>2</v>
      </c>
      <c r="I300">
        <f>VLOOKUP(C300,[14]Sheet1!$A:$C,3,FALSE)</f>
        <v>2</v>
      </c>
      <c r="M300">
        <v>0</v>
      </c>
      <c r="N300" s="2">
        <f>VLOOKUP(B300,[15]Sheet1!$A:$B,2,FALSE)</f>
        <v>6</v>
      </c>
      <c r="O300">
        <f>VLOOKUP(C300,[15]Sheet1!$A:$B,2,FALSE)</f>
        <v>11</v>
      </c>
    </row>
    <row r="301" spans="1:15" ht="22.2" customHeight="1">
      <c r="A301" t="s">
        <v>372</v>
      </c>
      <c r="B301" t="s">
        <v>83</v>
      </c>
      <c r="C301" t="s">
        <v>40</v>
      </c>
      <c r="D301">
        <f>VLOOKUP(B301,[13]Sheet1!$A:$B,2,FALSE)</f>
        <v>61</v>
      </c>
      <c r="E301">
        <f>VLOOKUP(C301,[13]Sheet1!$A:$B,2,FALSE)</f>
        <v>8</v>
      </c>
      <c r="F301">
        <f>VLOOKUP(B301,[14]Sheet1!$A:$C,2,FALSE)</f>
        <v>1</v>
      </c>
      <c r="G301">
        <f>VLOOKUP(B301,[14]Sheet1!$A:$C,3,FALSE)</f>
        <v>1</v>
      </c>
      <c r="H301">
        <f>VLOOKUP(C301,[14]Sheet1!$A:$C,2,FALSE)</f>
        <v>2</v>
      </c>
      <c r="I301">
        <f>VLOOKUP(C301,[14]Sheet1!$A:$C,3,FALSE)</f>
        <v>2</v>
      </c>
      <c r="M301">
        <v>-1</v>
      </c>
      <c r="N301" s="2">
        <f>VLOOKUP(B301,[15]Sheet1!$A:$B,2,FALSE)</f>
        <v>24</v>
      </c>
      <c r="O301">
        <f>VLOOKUP(C301,[15]Sheet1!$A:$B,2,FALSE)</f>
        <v>12</v>
      </c>
    </row>
    <row r="302" spans="1:15" ht="22.2" customHeight="1">
      <c r="A302" t="s">
        <v>373</v>
      </c>
      <c r="B302" t="s">
        <v>10</v>
      </c>
      <c r="C302" t="s">
        <v>255</v>
      </c>
      <c r="D302">
        <f>VLOOKUP(B302,[13]Sheet1!$A:$B,2,FALSE)</f>
        <v>27</v>
      </c>
      <c r="E302">
        <f>VLOOKUP(C302,[13]Sheet1!$A:$B,2,FALSE)</f>
        <v>16</v>
      </c>
      <c r="F302">
        <f>VLOOKUP(B302,[14]Sheet1!$A:$C,2,FALSE)</f>
        <v>2</v>
      </c>
      <c r="G302">
        <f>VLOOKUP(B302,[14]Sheet1!$A:$C,3,FALSE)</f>
        <v>2</v>
      </c>
      <c r="H302">
        <f>VLOOKUP(C302,[14]Sheet1!$A:$C,2,FALSE)</f>
        <v>3</v>
      </c>
      <c r="I302">
        <f>VLOOKUP(C302,[14]Sheet1!$A:$C,3,FALSE)</f>
        <v>4</v>
      </c>
      <c r="M302">
        <v>-1</v>
      </c>
      <c r="N302" s="2">
        <f>VLOOKUP(B302,[15]Sheet1!$A:$B,2,FALSE)</f>
        <v>17</v>
      </c>
      <c r="O302">
        <f>VLOOKUP(C302,[15]Sheet1!$A:$B,2,FALSE)</f>
        <v>16</v>
      </c>
    </row>
    <row r="303" spans="1:15" ht="22.2" customHeight="1">
      <c r="A303" t="s">
        <v>374</v>
      </c>
      <c r="B303" t="s">
        <v>327</v>
      </c>
      <c r="C303" t="s">
        <v>87</v>
      </c>
      <c r="D303">
        <f>VLOOKUP(B303,[13]Sheet1!$A:$B,2,FALSE)</f>
        <v>55</v>
      </c>
      <c r="E303">
        <f>VLOOKUP(C303,[13]Sheet1!$A:$B,2,FALSE)</f>
        <v>21</v>
      </c>
      <c r="F303">
        <f>VLOOKUP(B303,[14]Sheet1!$A:$C,2,FALSE)</f>
        <v>0</v>
      </c>
      <c r="G303">
        <f>VLOOKUP(B303,[14]Sheet1!$A:$C,3,FALSE)</f>
        <v>0</v>
      </c>
      <c r="H303">
        <f>VLOOKUP(C303,[14]Sheet1!$A:$C,2,FALSE)</f>
        <v>1</v>
      </c>
      <c r="I303">
        <f>VLOOKUP(C303,[14]Sheet1!$A:$C,3,FALSE)</f>
        <v>0</v>
      </c>
      <c r="M303">
        <v>-1</v>
      </c>
      <c r="N303" s="2">
        <f>VLOOKUP(B303,[15]Sheet1!$A:$B,2,FALSE)</f>
        <v>32</v>
      </c>
      <c r="O303">
        <f>VLOOKUP(C303,[15]Sheet1!$A:$B,2,FALSE)</f>
        <v>28</v>
      </c>
    </row>
    <row r="304" spans="1:15" ht="22.2" customHeight="1">
      <c r="A304" t="s">
        <v>375</v>
      </c>
      <c r="B304" t="s">
        <v>66</v>
      </c>
      <c r="C304" t="s">
        <v>84</v>
      </c>
      <c r="D304">
        <f>VLOOKUP(B304,[13]Sheet1!$A:$B,2,FALSE)</f>
        <v>12</v>
      </c>
      <c r="E304">
        <f>VLOOKUP(C304,[13]Sheet1!$A:$B,2,FALSE)</f>
        <v>3</v>
      </c>
      <c r="F304">
        <f>VLOOKUP(B304,[14]Sheet1!$A:$C,2,FALSE)</f>
        <v>4</v>
      </c>
      <c r="G304">
        <f>VLOOKUP(B304,[14]Sheet1!$A:$C,3,FALSE)</f>
        <v>6</v>
      </c>
      <c r="H304">
        <f>VLOOKUP(C304,[14]Sheet1!$A:$C,2,FALSE)</f>
        <v>6</v>
      </c>
      <c r="I304">
        <f>VLOOKUP(C304,[14]Sheet1!$A:$C,3,FALSE)</f>
        <v>8</v>
      </c>
      <c r="M304">
        <v>-1</v>
      </c>
      <c r="N304" s="2">
        <f>VLOOKUP(B304,[15]Sheet1!$A:$B,2,FALSE)</f>
        <v>9</v>
      </c>
      <c r="O304">
        <f>VLOOKUP(C304,[15]Sheet1!$A:$B,2,FALSE)</f>
        <v>1</v>
      </c>
    </row>
    <row r="305" spans="1:15" ht="22.2" customHeight="1">
      <c r="A305" t="s">
        <v>376</v>
      </c>
      <c r="B305" t="s">
        <v>9</v>
      </c>
      <c r="C305" t="s">
        <v>63</v>
      </c>
      <c r="D305">
        <f>VLOOKUP(B305,[13]Sheet1!$A:$B,2,FALSE)</f>
        <v>7</v>
      </c>
      <c r="E305">
        <f>VLOOKUP(C305,[13]Sheet1!$A:$B,2,FALSE)</f>
        <v>5</v>
      </c>
      <c r="F305">
        <f>VLOOKUP(B305,[14]Sheet1!$A:$C,2,FALSE)</f>
        <v>6</v>
      </c>
      <c r="G305">
        <f>VLOOKUP(B305,[14]Sheet1!$A:$C,3,FALSE)</f>
        <v>8</v>
      </c>
      <c r="H305">
        <f>VLOOKUP(C305,[14]Sheet1!$A:$C,2,FALSE)</f>
        <v>4</v>
      </c>
      <c r="I305">
        <f>VLOOKUP(C305,[14]Sheet1!$A:$C,3,FALSE)</f>
        <v>5</v>
      </c>
      <c r="M305">
        <v>1</v>
      </c>
      <c r="N305" s="2">
        <f>VLOOKUP(B305,[15]Sheet1!$A:$B,2,FALSE)</f>
        <v>5</v>
      </c>
      <c r="O305">
        <f>VLOOKUP(C305,[15]Sheet1!$A:$B,2,FALSE)</f>
        <v>7</v>
      </c>
    </row>
    <row r="306" spans="1:15" ht="22.2" customHeight="1">
      <c r="A306" t="s">
        <v>377</v>
      </c>
      <c r="B306" t="s">
        <v>11</v>
      </c>
      <c r="C306" t="s">
        <v>43</v>
      </c>
      <c r="D306">
        <f>VLOOKUP(B306,[13]Sheet1!$A:$B,2,FALSE)</f>
        <v>14</v>
      </c>
      <c r="E306">
        <f>VLOOKUP(C306,[13]Sheet1!$A:$B,2,FALSE)</f>
        <v>4</v>
      </c>
      <c r="F306">
        <f>VLOOKUP(B306,[14]Sheet1!$A:$C,2,FALSE)</f>
        <v>3</v>
      </c>
      <c r="G306">
        <f>VLOOKUP(B306,[14]Sheet1!$A:$C,3,FALSE)</f>
        <v>4</v>
      </c>
      <c r="H306">
        <f>VLOOKUP(C306,[14]Sheet1!$A:$C,2,FALSE)</f>
        <v>3</v>
      </c>
      <c r="I306">
        <f>VLOOKUP(C306,[14]Sheet1!$A:$C,3,FALSE)</f>
        <v>4</v>
      </c>
      <c r="M306">
        <v>1</v>
      </c>
      <c r="N306" s="2">
        <f>VLOOKUP(B306,[15]Sheet1!$A:$B,2,FALSE)</f>
        <v>10</v>
      </c>
      <c r="O306">
        <f>VLOOKUP(C306,[15]Sheet1!$A:$B,2,FALSE)</f>
        <v>8</v>
      </c>
    </row>
    <row r="307" spans="1:15" ht="22.2" customHeight="1">
      <c r="A307" t="s">
        <v>378</v>
      </c>
      <c r="B307" t="s">
        <v>86</v>
      </c>
      <c r="C307" t="s">
        <v>22</v>
      </c>
      <c r="D307">
        <f>VLOOKUP(B307,[13]Sheet1!$A:$B,2,FALSE)</f>
        <v>70</v>
      </c>
      <c r="E307">
        <f>VLOOKUP(C307,[13]Sheet1!$A:$B,2,FALSE)</f>
        <v>10</v>
      </c>
      <c r="F307">
        <f>VLOOKUP(B307,[14]Sheet1!$A:$C,2,FALSE)</f>
        <v>1</v>
      </c>
      <c r="G307">
        <f>VLOOKUP(B307,[14]Sheet1!$A:$C,3,FALSE)</f>
        <v>1</v>
      </c>
      <c r="H307">
        <f>VLOOKUP(C307,[14]Sheet1!$A:$C,2,FALSE)</f>
        <v>6</v>
      </c>
      <c r="I307">
        <f>VLOOKUP(C307,[14]Sheet1!$A:$C,3,FALSE)</f>
        <v>9</v>
      </c>
      <c r="M307">
        <v>0</v>
      </c>
      <c r="N307" s="2">
        <f>VLOOKUP(B307,[15]Sheet1!$A:$B,2,FALSE)</f>
        <v>19</v>
      </c>
      <c r="O307">
        <f>VLOOKUP(C307,[15]Sheet1!$A:$B,2,FALSE)</f>
        <v>3</v>
      </c>
    </row>
    <row r="308" spans="1:15" ht="22.2" customHeight="1">
      <c r="A308" t="s">
        <v>379</v>
      </c>
      <c r="B308" t="s">
        <v>73</v>
      </c>
      <c r="C308" t="s">
        <v>12</v>
      </c>
      <c r="D308">
        <f>VLOOKUP(B308,[13]Sheet1!$A:$B,2,FALSE)</f>
        <v>20</v>
      </c>
      <c r="E308">
        <f>VLOOKUP(C308,[13]Sheet1!$A:$B,2,FALSE)</f>
        <v>12</v>
      </c>
      <c r="F308">
        <f>VLOOKUP(B308,[14]Sheet1!$A:$C,2,FALSE)</f>
        <v>4</v>
      </c>
      <c r="G308">
        <f>VLOOKUP(B308,[14]Sheet1!$A:$C,3,FALSE)</f>
        <v>5</v>
      </c>
      <c r="H308">
        <f>VLOOKUP(C308,[14]Sheet1!$A:$C,2,FALSE)</f>
        <v>2</v>
      </c>
      <c r="I308">
        <f>VLOOKUP(C308,[14]Sheet1!$A:$C,3,FALSE)</f>
        <v>2</v>
      </c>
      <c r="M308">
        <v>0</v>
      </c>
      <c r="N308" s="2">
        <f>VLOOKUP(B308,[15]Sheet1!$A:$B,2,FALSE)</f>
        <v>13</v>
      </c>
      <c r="O308">
        <f>VLOOKUP(C308,[15]Sheet1!$A:$B,2,FALSE)</f>
        <v>18</v>
      </c>
    </row>
    <row r="309" spans="1:15" ht="22.2" customHeight="1">
      <c r="A309" t="s">
        <v>380</v>
      </c>
      <c r="B309" t="s">
        <v>29</v>
      </c>
      <c r="C309" t="s">
        <v>74</v>
      </c>
      <c r="D309">
        <f>VLOOKUP(B309,[13]Sheet1!$A:$B,2,FALSE)</f>
        <v>2</v>
      </c>
      <c r="E309">
        <f>VLOOKUP(C309,[13]Sheet1!$A:$B,2,FALSE)</f>
        <v>15</v>
      </c>
      <c r="F309">
        <f>VLOOKUP(B309,[14]Sheet1!$A:$C,2,FALSE)</f>
        <v>7</v>
      </c>
      <c r="G309">
        <f>VLOOKUP(B309,[14]Sheet1!$A:$C,3,FALSE)</f>
        <v>10</v>
      </c>
      <c r="H309">
        <f>VLOOKUP(C309,[14]Sheet1!$A:$C,2,FALSE)</f>
        <v>2</v>
      </c>
      <c r="I309">
        <f>VLOOKUP(C309,[14]Sheet1!$A:$C,3,FALSE)</f>
        <v>2</v>
      </c>
      <c r="M309">
        <v>1</v>
      </c>
      <c r="N309" s="2">
        <f>VLOOKUP(B309,[15]Sheet1!$A:$B,2,FALSE)</f>
        <v>4</v>
      </c>
      <c r="O309">
        <f>VLOOKUP(C309,[15]Sheet1!$A:$B,2,FALSE)</f>
        <v>14</v>
      </c>
    </row>
    <row r="310" spans="1:15" ht="22.2" customHeight="1">
      <c r="A310" t="s">
        <v>381</v>
      </c>
      <c r="B310" t="s">
        <v>84</v>
      </c>
      <c r="C310" t="s">
        <v>83</v>
      </c>
      <c r="D310">
        <f>VLOOKUP(B310,[13]Sheet1!$A:$B,2,FALSE)</f>
        <v>3</v>
      </c>
      <c r="E310">
        <f>VLOOKUP(C310,[13]Sheet1!$A:$B,2,FALSE)</f>
        <v>61</v>
      </c>
      <c r="F310">
        <f>VLOOKUP(B310,[14]Sheet1!$A:$C,2,FALSE)</f>
        <v>6</v>
      </c>
      <c r="G310">
        <f>VLOOKUP(B310,[14]Sheet1!$A:$C,3,FALSE)</f>
        <v>8</v>
      </c>
      <c r="H310">
        <f>VLOOKUP(C310,[14]Sheet1!$A:$C,2,FALSE)</f>
        <v>1</v>
      </c>
      <c r="I310">
        <f>VLOOKUP(C310,[14]Sheet1!$A:$C,3,FALSE)</f>
        <v>1</v>
      </c>
      <c r="M310">
        <v>1</v>
      </c>
      <c r="N310" s="2">
        <f>VLOOKUP(B310,[15]Sheet1!$A:$B,2,FALSE)</f>
        <v>1</v>
      </c>
      <c r="O310">
        <f>VLOOKUP(C310,[15]Sheet1!$A:$B,2,FALSE)</f>
        <v>24</v>
      </c>
    </row>
    <row r="311" spans="1:15" ht="22.2" customHeight="1">
      <c r="A311" t="s">
        <v>382</v>
      </c>
      <c r="B311" t="s">
        <v>67</v>
      </c>
      <c r="C311" t="s">
        <v>154</v>
      </c>
      <c r="D311">
        <f>VLOOKUP(B311,[13]Sheet1!$A:$B,2,FALSE)</f>
        <v>24</v>
      </c>
      <c r="E311">
        <f>VLOOKUP(C311,[13]Sheet1!$A:$B,2,FALSE)</f>
        <v>6</v>
      </c>
      <c r="F311">
        <f>VLOOKUP(B311,[14]Sheet1!$A:$C,2,FALSE)</f>
        <v>2</v>
      </c>
      <c r="G311">
        <f>VLOOKUP(B311,[14]Sheet1!$A:$C,3,FALSE)</f>
        <v>2</v>
      </c>
      <c r="H311">
        <f>VLOOKUP(C311,[14]Sheet1!$A:$C,2,FALSE)</f>
        <v>2</v>
      </c>
      <c r="I311">
        <f>VLOOKUP(C311,[14]Sheet1!$A:$C,3,FALSE)</f>
        <v>3</v>
      </c>
      <c r="M311">
        <v>1</v>
      </c>
      <c r="N311" s="2">
        <f>VLOOKUP(B311,[15]Sheet1!$A:$B,2,FALSE)</f>
        <v>15</v>
      </c>
      <c r="O311">
        <f>VLOOKUP(C311,[15]Sheet1!$A:$B,2,FALSE)</f>
        <v>6</v>
      </c>
    </row>
    <row r="312" spans="1:15" ht="22.2" customHeight="1">
      <c r="A312" t="s">
        <v>383</v>
      </c>
      <c r="B312" t="s">
        <v>255</v>
      </c>
      <c r="C312" t="s">
        <v>66</v>
      </c>
      <c r="D312">
        <f>VLOOKUP(B312,[13]Sheet1!$A:$B,2,FALSE)</f>
        <v>16</v>
      </c>
      <c r="E312">
        <f>VLOOKUP(C312,[13]Sheet1!$A:$B,2,FALSE)</f>
        <v>12</v>
      </c>
      <c r="F312">
        <f>VLOOKUP(B312,[14]Sheet1!$A:$C,2,FALSE)</f>
        <v>3</v>
      </c>
      <c r="G312">
        <f>VLOOKUP(B312,[14]Sheet1!$A:$C,3,FALSE)</f>
        <v>4</v>
      </c>
      <c r="H312">
        <f>VLOOKUP(C312,[14]Sheet1!$A:$C,2,FALSE)</f>
        <v>4</v>
      </c>
      <c r="I312">
        <f>VLOOKUP(C312,[14]Sheet1!$A:$C,3,FALSE)</f>
        <v>6</v>
      </c>
      <c r="M312">
        <v>0</v>
      </c>
      <c r="N312" s="2">
        <f>VLOOKUP(B312,[15]Sheet1!$A:$B,2,FALSE)</f>
        <v>16</v>
      </c>
      <c r="O312">
        <f>VLOOKUP(C312,[15]Sheet1!$A:$B,2,FALSE)</f>
        <v>9</v>
      </c>
    </row>
    <row r="313" spans="1:15" ht="22.2" customHeight="1">
      <c r="A313" t="s">
        <v>384</v>
      </c>
      <c r="B313" t="s">
        <v>11</v>
      </c>
      <c r="C313" t="s">
        <v>9</v>
      </c>
      <c r="D313">
        <f>VLOOKUP(B313,[13]Sheet1!$A:$B,2,FALSE)</f>
        <v>14</v>
      </c>
      <c r="E313">
        <f>VLOOKUP(C313,[13]Sheet1!$A:$B,2,FALSE)</f>
        <v>7</v>
      </c>
      <c r="F313">
        <f>VLOOKUP(B313,[14]Sheet1!$A:$C,2,FALSE)</f>
        <v>3</v>
      </c>
      <c r="G313">
        <f>VLOOKUP(B313,[14]Sheet1!$A:$C,3,FALSE)</f>
        <v>4</v>
      </c>
      <c r="H313">
        <f>VLOOKUP(C313,[14]Sheet1!$A:$C,2,FALSE)</f>
        <v>6</v>
      </c>
      <c r="I313">
        <f>VLOOKUP(C313,[14]Sheet1!$A:$C,3,FALSE)</f>
        <v>8</v>
      </c>
      <c r="M313">
        <v>-1</v>
      </c>
      <c r="N313" s="2">
        <f>VLOOKUP(B313,[15]Sheet1!$A:$B,2,FALSE)</f>
        <v>10</v>
      </c>
      <c r="O313">
        <f>VLOOKUP(C313,[15]Sheet1!$A:$B,2,FALSE)</f>
        <v>5</v>
      </c>
    </row>
    <row r="314" spans="1:15" ht="22.2" customHeight="1">
      <c r="A314" t="s">
        <v>385</v>
      </c>
      <c r="B314" t="s">
        <v>29</v>
      </c>
      <c r="C314" t="s">
        <v>84</v>
      </c>
      <c r="D314">
        <f>VLOOKUP(B314,[13]Sheet1!$A:$B,2,FALSE)</f>
        <v>2</v>
      </c>
      <c r="E314">
        <f>VLOOKUP(C314,[13]Sheet1!$A:$B,2,FALSE)</f>
        <v>3</v>
      </c>
      <c r="F314">
        <f>VLOOKUP(B314,[14]Sheet1!$A:$C,2,FALSE)</f>
        <v>7</v>
      </c>
      <c r="G314">
        <f>VLOOKUP(B314,[14]Sheet1!$A:$C,3,FALSE)</f>
        <v>10</v>
      </c>
      <c r="H314">
        <f>VLOOKUP(C314,[14]Sheet1!$A:$C,2,FALSE)</f>
        <v>6</v>
      </c>
      <c r="I314">
        <f>VLOOKUP(C314,[14]Sheet1!$A:$C,3,FALSE)</f>
        <v>8</v>
      </c>
      <c r="M314">
        <v>-1</v>
      </c>
      <c r="N314" s="2">
        <f>VLOOKUP(B314,[15]Sheet1!$A:$B,2,FALSE)</f>
        <v>4</v>
      </c>
      <c r="O314">
        <f>VLOOKUP(C314,[15]Sheet1!$A:$B,2,FALSE)</f>
        <v>1</v>
      </c>
    </row>
    <row r="315" spans="1:15" ht="22.2" customHeight="1">
      <c r="A315" t="s">
        <v>386</v>
      </c>
      <c r="B315" t="s">
        <v>67</v>
      </c>
      <c r="C315" t="s">
        <v>66</v>
      </c>
      <c r="D315">
        <f>VLOOKUP(B315,[13]Sheet1!$A:$B,2,FALSE)</f>
        <v>24</v>
      </c>
      <c r="E315">
        <f>VLOOKUP(C315,[13]Sheet1!$A:$B,2,FALSE)</f>
        <v>12</v>
      </c>
      <c r="F315">
        <f>VLOOKUP(B315,[14]Sheet1!$A:$C,2,FALSE)</f>
        <v>2</v>
      </c>
      <c r="G315">
        <f>VLOOKUP(B315,[14]Sheet1!$A:$C,3,FALSE)</f>
        <v>2</v>
      </c>
      <c r="H315">
        <f>VLOOKUP(C315,[14]Sheet1!$A:$C,2,FALSE)</f>
        <v>4</v>
      </c>
      <c r="I315">
        <f>VLOOKUP(C315,[14]Sheet1!$A:$C,3,FALSE)</f>
        <v>6</v>
      </c>
      <c r="M315">
        <v>-1</v>
      </c>
      <c r="N315" s="2">
        <f>VLOOKUP(B315,[15]Sheet1!$A:$B,2,FALSE)</f>
        <v>15</v>
      </c>
      <c r="O315">
        <f>VLOOKUP(C315,[15]Sheet1!$A:$B,2,FALSE)</f>
        <v>9</v>
      </c>
    </row>
    <row r="316" spans="1:15" ht="22.2" customHeight="1">
      <c r="A316" t="s">
        <v>387</v>
      </c>
      <c r="B316" t="s">
        <v>86</v>
      </c>
      <c r="C316" t="s">
        <v>73</v>
      </c>
      <c r="D316">
        <f>VLOOKUP(B316,[13]Sheet1!$A:$B,2,FALSE)</f>
        <v>70</v>
      </c>
      <c r="E316">
        <f>VLOOKUP(C316,[13]Sheet1!$A:$B,2,FALSE)</f>
        <v>20</v>
      </c>
      <c r="F316">
        <f>VLOOKUP(B316,[14]Sheet1!$A:$C,2,FALSE)</f>
        <v>1</v>
      </c>
      <c r="G316">
        <f>VLOOKUP(B316,[14]Sheet1!$A:$C,3,FALSE)</f>
        <v>1</v>
      </c>
      <c r="H316">
        <f>VLOOKUP(C316,[14]Sheet1!$A:$C,2,FALSE)</f>
        <v>4</v>
      </c>
      <c r="I316">
        <f>VLOOKUP(C316,[14]Sheet1!$A:$C,3,FALSE)</f>
        <v>5</v>
      </c>
      <c r="M316">
        <v>0</v>
      </c>
      <c r="N316" s="2">
        <f>VLOOKUP(B316,[15]Sheet1!$A:$B,2,FALSE)</f>
        <v>19</v>
      </c>
      <c r="O316">
        <f>VLOOKUP(C316,[15]Sheet1!$A:$B,2,FALSE)</f>
        <v>13</v>
      </c>
    </row>
    <row r="317" spans="1:15" ht="22.2" customHeight="1">
      <c r="A317" t="s">
        <v>388</v>
      </c>
      <c r="B317" t="s">
        <v>9</v>
      </c>
      <c r="C317" t="s">
        <v>84</v>
      </c>
      <c r="D317">
        <f>VLOOKUP(B317,[13]Sheet1!$A:$B,2,FALSE)</f>
        <v>7</v>
      </c>
      <c r="E317">
        <f>VLOOKUP(C317,[13]Sheet1!$A:$B,2,FALSE)</f>
        <v>3</v>
      </c>
      <c r="F317">
        <f>VLOOKUP(B317,[14]Sheet1!$A:$C,2,FALSE)</f>
        <v>6</v>
      </c>
      <c r="G317">
        <f>VLOOKUP(B317,[14]Sheet1!$A:$C,3,FALSE)</f>
        <v>8</v>
      </c>
      <c r="H317">
        <f>VLOOKUP(C317,[14]Sheet1!$A:$C,2,FALSE)</f>
        <v>6</v>
      </c>
      <c r="I317">
        <f>VLOOKUP(C317,[14]Sheet1!$A:$C,3,FALSE)</f>
        <v>8</v>
      </c>
      <c r="M317">
        <v>1</v>
      </c>
      <c r="N317" s="2">
        <f>VLOOKUP(B317,[15]Sheet1!$A:$B,2,FALSE)</f>
        <v>5</v>
      </c>
      <c r="O317">
        <f>VLOOKUP(C317,[15]Sheet1!$A:$B,2,FALSE)</f>
        <v>1</v>
      </c>
    </row>
    <row r="318" spans="1:15" ht="22.2" customHeight="1">
      <c r="A318" t="s">
        <v>389</v>
      </c>
      <c r="B318" t="s">
        <v>73</v>
      </c>
      <c r="C318" t="s">
        <v>66</v>
      </c>
      <c r="D318">
        <f>VLOOKUP(B318,[13]Sheet1!$A:$B,2,FALSE)</f>
        <v>20</v>
      </c>
      <c r="E318">
        <f>VLOOKUP(C318,[13]Sheet1!$A:$B,2,FALSE)</f>
        <v>12</v>
      </c>
      <c r="F318">
        <f>VLOOKUP(B318,[14]Sheet1!$A:$C,2,FALSE)</f>
        <v>4</v>
      </c>
      <c r="G318">
        <f>VLOOKUP(B318,[14]Sheet1!$A:$C,3,FALSE)</f>
        <v>5</v>
      </c>
      <c r="H318">
        <f>VLOOKUP(C318,[14]Sheet1!$A:$C,2,FALSE)</f>
        <v>4</v>
      </c>
      <c r="I318">
        <f>VLOOKUP(C318,[14]Sheet1!$A:$C,3,FALSE)</f>
        <v>6</v>
      </c>
      <c r="M318">
        <v>1</v>
      </c>
      <c r="N318" s="2">
        <f>VLOOKUP(B318,[15]Sheet1!$A:$B,2,FALSE)</f>
        <v>13</v>
      </c>
      <c r="O318">
        <f>VLOOKUP(C318,[15]Sheet1!$A:$B,2,FALSE)</f>
        <v>9</v>
      </c>
    </row>
    <row r="319" spans="1:15" ht="22.2" customHeight="1">
      <c r="A319" t="s">
        <v>390</v>
      </c>
      <c r="B319" t="s">
        <v>84</v>
      </c>
      <c r="C319" t="s">
        <v>66</v>
      </c>
      <c r="D319">
        <f>VLOOKUP(B319,[13]Sheet1!$A:$B,2,FALSE)</f>
        <v>3</v>
      </c>
      <c r="E319">
        <f>VLOOKUP(C319,[13]Sheet1!$A:$B,2,FALSE)</f>
        <v>12</v>
      </c>
      <c r="F319">
        <f>VLOOKUP(B319,[14]Sheet1!$A:$C,2,FALSE)</f>
        <v>6</v>
      </c>
      <c r="G319">
        <f>VLOOKUP(B319,[14]Sheet1!$A:$C,3,FALSE)</f>
        <v>8</v>
      </c>
      <c r="H319">
        <f>VLOOKUP(C319,[14]Sheet1!$A:$C,2,FALSE)</f>
        <v>4</v>
      </c>
      <c r="I319">
        <f>VLOOKUP(C319,[14]Sheet1!$A:$C,3,FALSE)</f>
        <v>6</v>
      </c>
      <c r="M319">
        <v>1</v>
      </c>
      <c r="N319" s="2">
        <f>VLOOKUP(B319,[15]Sheet1!$A:$B,2,FALSE)</f>
        <v>1</v>
      </c>
      <c r="O319">
        <f>VLOOKUP(C319,[15]Sheet1!$A:$B,2,FALSE)</f>
        <v>9</v>
      </c>
    </row>
    <row r="320" spans="1:15" ht="22.2" customHeight="1">
      <c r="A320" t="s">
        <v>391</v>
      </c>
      <c r="B320" t="s">
        <v>9</v>
      </c>
      <c r="C320" t="s">
        <v>73</v>
      </c>
      <c r="D320">
        <f>VLOOKUP(B320,[13]Sheet1!$A:$B,2,FALSE)</f>
        <v>7</v>
      </c>
      <c r="E320">
        <f>VLOOKUP(C320,[13]Sheet1!$A:$B,2,FALSE)</f>
        <v>20</v>
      </c>
      <c r="F320">
        <f>VLOOKUP(B320,[14]Sheet1!$A:$C,2,FALSE)</f>
        <v>6</v>
      </c>
      <c r="G320">
        <f>VLOOKUP(B320,[14]Sheet1!$A:$C,3,FALSE)</f>
        <v>8</v>
      </c>
      <c r="H320">
        <f>VLOOKUP(C320,[14]Sheet1!$A:$C,2,FALSE)</f>
        <v>4</v>
      </c>
      <c r="I320">
        <f>VLOOKUP(C320,[14]Sheet1!$A:$C,3,FALSE)</f>
        <v>5</v>
      </c>
      <c r="M320">
        <v>1</v>
      </c>
      <c r="N320" s="2">
        <f>VLOOKUP(B320,[15]Sheet1!$A:$B,2,FALSE)</f>
        <v>5</v>
      </c>
      <c r="O320">
        <f>VLOOKUP(C320,[15]Sheet1!$A:$B,2,FALSE)</f>
        <v>13</v>
      </c>
    </row>
    <row r="321" spans="1:15" ht="22.2" customHeight="1">
      <c r="A321" t="s">
        <v>392</v>
      </c>
      <c r="B321" t="s">
        <v>393</v>
      </c>
      <c r="C321" t="s">
        <v>77</v>
      </c>
      <c r="D321">
        <f>VLOOKUP(B321,[16]Sheet1!$A:$B,2,FALSE)</f>
        <v>50</v>
      </c>
      <c r="E321">
        <f>VLOOKUP(C321,[16]Sheet1!$A:$B,2,FALSE)</f>
        <v>44</v>
      </c>
      <c r="F321">
        <f>VLOOKUP(B321,[17]Sheet1!$A:$C,2,FALSE)</f>
        <v>0</v>
      </c>
      <c r="G321">
        <f>VLOOKUP(B321,[17]Sheet1!$A:$C,3,FALSE)</f>
        <v>1</v>
      </c>
      <c r="H321">
        <f>VLOOKUP(C321,[17]Sheet1!$A:$C,2,FALSE)</f>
        <v>1</v>
      </c>
      <c r="I321">
        <f>VLOOKUP(C321,[17]Sheet1!$A:$C,3,FALSE)</f>
        <v>2</v>
      </c>
      <c r="M321">
        <v>-1</v>
      </c>
      <c r="N321" s="2">
        <f>VLOOKUP(B321,[18]Sheet1!$A:$B,2,FALSE)</f>
        <v>32</v>
      </c>
      <c r="O321">
        <f>VLOOKUP(C321,[18]Sheet1!$A:$B,2,FALSE)</f>
        <v>23</v>
      </c>
    </row>
    <row r="322" spans="1:15" ht="22.2" customHeight="1">
      <c r="A322" t="s">
        <v>394</v>
      </c>
      <c r="B322" t="s">
        <v>10</v>
      </c>
      <c r="C322" t="s">
        <v>123</v>
      </c>
      <c r="D322">
        <f>VLOOKUP(B322,[16]Sheet1!$A:$B,2,FALSE)</f>
        <v>18</v>
      </c>
      <c r="E322">
        <f>VLOOKUP(C322,[16]Sheet1!$A:$B,2,FALSE)</f>
        <v>8</v>
      </c>
      <c r="F322">
        <f>VLOOKUP(B322,[17]Sheet1!$A:$C,2,FALSE)</f>
        <v>1</v>
      </c>
      <c r="G322">
        <f>VLOOKUP(B322,[17]Sheet1!$A:$C,3,FALSE)</f>
        <v>3</v>
      </c>
      <c r="H322">
        <f>VLOOKUP(C322,[17]Sheet1!$A:$C,2,FALSE)</f>
        <v>2</v>
      </c>
      <c r="I322">
        <f>VLOOKUP(C322,[17]Sheet1!$A:$C,3,FALSE)</f>
        <v>5</v>
      </c>
      <c r="M322">
        <v>-1</v>
      </c>
      <c r="N322" s="2">
        <f>VLOOKUP(B322,[18]Sheet1!$A:$B,2,FALSE)</f>
        <v>15</v>
      </c>
      <c r="O322">
        <f>VLOOKUP(C322,[18]Sheet1!$A:$B,2,FALSE)</f>
        <v>8</v>
      </c>
    </row>
    <row r="323" spans="1:15" ht="22.2" customHeight="1">
      <c r="A323" t="s">
        <v>395</v>
      </c>
      <c r="B323" t="s">
        <v>393</v>
      </c>
      <c r="C323" t="s">
        <v>10</v>
      </c>
      <c r="D323">
        <f>VLOOKUP(B323,[16]Sheet1!$A:$B,2,FALSE)</f>
        <v>50</v>
      </c>
      <c r="E323">
        <f>VLOOKUP(C323,[16]Sheet1!$A:$B,2,FALSE)</f>
        <v>18</v>
      </c>
      <c r="F323">
        <f>VLOOKUP(B323,[17]Sheet1!$A:$C,2,FALSE)</f>
        <v>0</v>
      </c>
      <c r="G323">
        <f>VLOOKUP(B323,[17]Sheet1!$A:$C,3,FALSE)</f>
        <v>1</v>
      </c>
      <c r="H323">
        <f>VLOOKUP(C323,[17]Sheet1!$A:$C,2,FALSE)</f>
        <v>1</v>
      </c>
      <c r="I323">
        <f>VLOOKUP(C323,[17]Sheet1!$A:$C,3,FALSE)</f>
        <v>3</v>
      </c>
      <c r="M323">
        <v>-1</v>
      </c>
      <c r="N323" s="2">
        <f>VLOOKUP(B323,[18]Sheet1!$A:$B,2,FALSE)</f>
        <v>32</v>
      </c>
      <c r="O323">
        <f>VLOOKUP(C323,[18]Sheet1!$A:$B,2,FALSE)</f>
        <v>15</v>
      </c>
    </row>
    <row r="324" spans="1:15" ht="22.2" customHeight="1">
      <c r="A324" t="s">
        <v>396</v>
      </c>
      <c r="B324" t="s">
        <v>123</v>
      </c>
      <c r="C324" t="s">
        <v>77</v>
      </c>
      <c r="D324">
        <f>VLOOKUP(B324,[16]Sheet1!$A:$B,2,FALSE)</f>
        <v>8</v>
      </c>
      <c r="E324">
        <f>VLOOKUP(C324,[16]Sheet1!$A:$B,2,FALSE)</f>
        <v>44</v>
      </c>
      <c r="F324">
        <f>VLOOKUP(B324,[17]Sheet1!$A:$C,2,FALSE)</f>
        <v>2</v>
      </c>
      <c r="G324">
        <f>VLOOKUP(B324,[17]Sheet1!$A:$C,3,FALSE)</f>
        <v>5</v>
      </c>
      <c r="H324">
        <f>VLOOKUP(C324,[17]Sheet1!$A:$C,2,FALSE)</f>
        <v>1</v>
      </c>
      <c r="I324">
        <f>VLOOKUP(C324,[17]Sheet1!$A:$C,3,FALSE)</f>
        <v>2</v>
      </c>
      <c r="M324">
        <v>0</v>
      </c>
      <c r="N324" s="2">
        <f>VLOOKUP(B324,[18]Sheet1!$A:$B,2,FALSE)</f>
        <v>8</v>
      </c>
      <c r="O324">
        <f>VLOOKUP(C324,[18]Sheet1!$A:$B,2,FALSE)</f>
        <v>23</v>
      </c>
    </row>
    <row r="325" spans="1:15" ht="22.2" customHeight="1">
      <c r="A325" t="s">
        <v>397</v>
      </c>
      <c r="B325" t="s">
        <v>77</v>
      </c>
      <c r="C325" t="s">
        <v>10</v>
      </c>
      <c r="D325">
        <f>VLOOKUP(B325,[16]Sheet1!$A:$B,2,FALSE)</f>
        <v>44</v>
      </c>
      <c r="E325">
        <f>VLOOKUP(C325,[16]Sheet1!$A:$B,2,FALSE)</f>
        <v>18</v>
      </c>
      <c r="F325">
        <f>VLOOKUP(B325,[17]Sheet1!$A:$C,2,FALSE)</f>
        <v>1</v>
      </c>
      <c r="G325">
        <f>VLOOKUP(B325,[17]Sheet1!$A:$C,3,FALSE)</f>
        <v>2</v>
      </c>
      <c r="H325">
        <f>VLOOKUP(C325,[17]Sheet1!$A:$C,2,FALSE)</f>
        <v>1</v>
      </c>
      <c r="I325">
        <f>VLOOKUP(C325,[17]Sheet1!$A:$C,3,FALSE)</f>
        <v>3</v>
      </c>
      <c r="M325">
        <v>-1</v>
      </c>
      <c r="N325" s="2">
        <f>VLOOKUP(B325,[18]Sheet1!$A:$B,2,FALSE)</f>
        <v>23</v>
      </c>
      <c r="O325">
        <f>VLOOKUP(C325,[18]Sheet1!$A:$B,2,FALSE)</f>
        <v>15</v>
      </c>
    </row>
    <row r="326" spans="1:15" ht="22.2" customHeight="1">
      <c r="A326" t="s">
        <v>398</v>
      </c>
      <c r="B326" t="s">
        <v>123</v>
      </c>
      <c r="C326" t="s">
        <v>393</v>
      </c>
      <c r="D326">
        <f>VLOOKUP(B326,[16]Sheet1!$A:$B,2,FALSE)</f>
        <v>8</v>
      </c>
      <c r="E326">
        <f>VLOOKUP(C326,[16]Sheet1!$A:$B,2,FALSE)</f>
        <v>50</v>
      </c>
      <c r="F326">
        <f>VLOOKUP(B326,[17]Sheet1!$A:$C,2,FALSE)</f>
        <v>2</v>
      </c>
      <c r="G326">
        <f>VLOOKUP(B326,[17]Sheet1!$A:$C,3,FALSE)</f>
        <v>5</v>
      </c>
      <c r="H326">
        <f>VLOOKUP(C326,[17]Sheet1!$A:$C,2,FALSE)</f>
        <v>0</v>
      </c>
      <c r="I326">
        <f>VLOOKUP(C326,[17]Sheet1!$A:$C,3,FALSE)</f>
        <v>1</v>
      </c>
      <c r="M326">
        <v>1</v>
      </c>
      <c r="N326" s="2">
        <f>VLOOKUP(B326,[18]Sheet1!$A:$B,2,FALSE)</f>
        <v>8</v>
      </c>
      <c r="O326">
        <f>VLOOKUP(C326,[18]Sheet1!$A:$B,2,FALSE)</f>
        <v>32</v>
      </c>
    </row>
    <row r="327" spans="1:15" ht="22.2" customHeight="1">
      <c r="A327" t="s">
        <v>399</v>
      </c>
      <c r="B327" t="s">
        <v>66</v>
      </c>
      <c r="C327" t="s">
        <v>129</v>
      </c>
      <c r="D327">
        <f>VLOOKUP(B327,[16]Sheet1!$A:$B,2,FALSE)</f>
        <v>5</v>
      </c>
      <c r="E327">
        <f>VLOOKUP(C327,[16]Sheet1!$A:$B,2,FALSE)</f>
        <v>20</v>
      </c>
      <c r="F327">
        <f>VLOOKUP(B327,[17]Sheet1!$A:$C,2,FALSE)</f>
        <v>2</v>
      </c>
      <c r="G327">
        <f>VLOOKUP(B327,[17]Sheet1!$A:$C,3,FALSE)</f>
        <v>6</v>
      </c>
      <c r="H327">
        <f>VLOOKUP(C327,[17]Sheet1!$A:$C,2,FALSE)</f>
        <v>0</v>
      </c>
      <c r="I327">
        <f>VLOOKUP(C327,[17]Sheet1!$A:$C,3,FALSE)</f>
        <v>1</v>
      </c>
      <c r="M327">
        <v>1</v>
      </c>
      <c r="N327" s="2">
        <f>VLOOKUP(B327,[18]Sheet1!$A:$B,2,FALSE)</f>
        <v>9</v>
      </c>
      <c r="O327">
        <f>VLOOKUP(C327,[18]Sheet1!$A:$B,2,FALSE)</f>
        <v>30</v>
      </c>
    </row>
    <row r="328" spans="1:15" ht="22.2" customHeight="1">
      <c r="A328" t="s">
        <v>400</v>
      </c>
      <c r="B328" t="s">
        <v>45</v>
      </c>
      <c r="C328" t="s">
        <v>401</v>
      </c>
      <c r="D328">
        <f>VLOOKUP(B328,[16]Sheet1!$A:$B,2,FALSE)</f>
        <v>16</v>
      </c>
      <c r="E328">
        <f>VLOOKUP(C328,[16]Sheet1!$A:$B,2,FALSE)</f>
        <v>19</v>
      </c>
      <c r="F328">
        <f>VLOOKUP(B328,[17]Sheet1!$A:$C,2,FALSE)</f>
        <v>1</v>
      </c>
      <c r="G328">
        <f>VLOOKUP(B328,[17]Sheet1!$A:$C,3,FALSE)</f>
        <v>3</v>
      </c>
      <c r="H328">
        <f>VLOOKUP(C328,[17]Sheet1!$A:$C,2,FALSE)</f>
        <v>1</v>
      </c>
      <c r="I328">
        <f>VLOOKUP(C328,[17]Sheet1!$A:$C,3,FALSE)</f>
        <v>2</v>
      </c>
      <c r="M328">
        <v>0</v>
      </c>
      <c r="N328" s="2">
        <f>VLOOKUP(B328,[18]Sheet1!$A:$B,2,FALSE)</f>
        <v>17</v>
      </c>
      <c r="O328">
        <f>VLOOKUP(C328,[18]Sheet1!$A:$B,2,FALSE)</f>
        <v>22</v>
      </c>
    </row>
    <row r="329" spans="1:15" ht="22.2" customHeight="1">
      <c r="A329" t="s">
        <v>402</v>
      </c>
      <c r="B329" t="s">
        <v>401</v>
      </c>
      <c r="C329" t="s">
        <v>129</v>
      </c>
      <c r="D329">
        <f>VLOOKUP(B329,[16]Sheet1!$A:$B,2,FALSE)</f>
        <v>19</v>
      </c>
      <c r="E329">
        <f>VLOOKUP(C329,[16]Sheet1!$A:$B,2,FALSE)</f>
        <v>20</v>
      </c>
      <c r="F329">
        <f>VLOOKUP(B329,[17]Sheet1!$A:$C,2,FALSE)</f>
        <v>1</v>
      </c>
      <c r="G329">
        <f>VLOOKUP(B329,[17]Sheet1!$A:$C,3,FALSE)</f>
        <v>2</v>
      </c>
      <c r="H329">
        <f>VLOOKUP(C329,[17]Sheet1!$A:$C,2,FALSE)</f>
        <v>0</v>
      </c>
      <c r="I329">
        <f>VLOOKUP(C329,[17]Sheet1!$A:$C,3,FALSE)</f>
        <v>1</v>
      </c>
      <c r="M329">
        <v>-1</v>
      </c>
      <c r="N329" s="2">
        <f>VLOOKUP(B329,[18]Sheet1!$A:$B,2,FALSE)</f>
        <v>22</v>
      </c>
      <c r="O329">
        <f>VLOOKUP(C329,[18]Sheet1!$A:$B,2,FALSE)</f>
        <v>30</v>
      </c>
    </row>
    <row r="330" spans="1:15" ht="22.2" customHeight="1">
      <c r="A330" t="s">
        <v>403</v>
      </c>
      <c r="B330" t="s">
        <v>66</v>
      </c>
      <c r="C330" t="s">
        <v>45</v>
      </c>
      <c r="D330">
        <f>VLOOKUP(B330,[16]Sheet1!$A:$B,2,FALSE)</f>
        <v>5</v>
      </c>
      <c r="E330">
        <f>VLOOKUP(C330,[16]Sheet1!$A:$B,2,FALSE)</f>
        <v>16</v>
      </c>
      <c r="F330">
        <f>VLOOKUP(B330,[17]Sheet1!$A:$C,2,FALSE)</f>
        <v>2</v>
      </c>
      <c r="G330">
        <f>VLOOKUP(B330,[17]Sheet1!$A:$C,3,FALSE)</f>
        <v>6</v>
      </c>
      <c r="H330">
        <f>VLOOKUP(C330,[17]Sheet1!$A:$C,2,FALSE)</f>
        <v>1</v>
      </c>
      <c r="I330">
        <f>VLOOKUP(C330,[17]Sheet1!$A:$C,3,FALSE)</f>
        <v>3</v>
      </c>
      <c r="M330">
        <v>0</v>
      </c>
      <c r="N330" s="2">
        <f>VLOOKUP(B330,[18]Sheet1!$A:$B,2,FALSE)</f>
        <v>9</v>
      </c>
      <c r="O330">
        <f>VLOOKUP(C330,[18]Sheet1!$A:$B,2,FALSE)</f>
        <v>17</v>
      </c>
    </row>
    <row r="331" spans="1:15" ht="22.2" customHeight="1">
      <c r="A331" t="s">
        <v>404</v>
      </c>
      <c r="B331" t="s">
        <v>401</v>
      </c>
      <c r="C331" t="s">
        <v>66</v>
      </c>
      <c r="D331">
        <f>VLOOKUP(B331,[16]Sheet1!$A:$B,2,FALSE)</f>
        <v>19</v>
      </c>
      <c r="E331">
        <f>VLOOKUP(C331,[16]Sheet1!$A:$B,2,FALSE)</f>
        <v>5</v>
      </c>
      <c r="F331">
        <f>VLOOKUP(B331,[17]Sheet1!$A:$C,2,FALSE)</f>
        <v>1</v>
      </c>
      <c r="G331">
        <f>VLOOKUP(B331,[17]Sheet1!$A:$C,3,FALSE)</f>
        <v>2</v>
      </c>
      <c r="H331">
        <f>VLOOKUP(C331,[17]Sheet1!$A:$C,2,FALSE)</f>
        <v>2</v>
      </c>
      <c r="I331">
        <f>VLOOKUP(C331,[17]Sheet1!$A:$C,3,FALSE)</f>
        <v>6</v>
      </c>
      <c r="M331">
        <v>-1</v>
      </c>
      <c r="N331" s="2">
        <f>VLOOKUP(B331,[18]Sheet1!$A:$B,2,FALSE)</f>
        <v>22</v>
      </c>
      <c r="O331">
        <f>VLOOKUP(C331,[18]Sheet1!$A:$B,2,FALSE)</f>
        <v>9</v>
      </c>
    </row>
    <row r="332" spans="1:15" ht="22.2" customHeight="1">
      <c r="A332" t="s">
        <v>405</v>
      </c>
      <c r="B332" t="s">
        <v>129</v>
      </c>
      <c r="C332" t="s">
        <v>45</v>
      </c>
      <c r="D332">
        <f>VLOOKUP(B332,[16]Sheet1!$A:$B,2,FALSE)</f>
        <v>20</v>
      </c>
      <c r="E332">
        <f>VLOOKUP(C332,[16]Sheet1!$A:$B,2,FALSE)</f>
        <v>16</v>
      </c>
      <c r="F332">
        <f>VLOOKUP(B332,[17]Sheet1!$A:$C,2,FALSE)</f>
        <v>0</v>
      </c>
      <c r="G332">
        <f>VLOOKUP(B332,[17]Sheet1!$A:$C,3,FALSE)</f>
        <v>1</v>
      </c>
      <c r="H332">
        <f>VLOOKUP(C332,[17]Sheet1!$A:$C,2,FALSE)</f>
        <v>1</v>
      </c>
      <c r="I332">
        <f>VLOOKUP(C332,[17]Sheet1!$A:$C,3,FALSE)</f>
        <v>3</v>
      </c>
      <c r="M332">
        <v>-1</v>
      </c>
      <c r="N332" s="2">
        <f>VLOOKUP(B332,[18]Sheet1!$A:$B,2,FALSE)</f>
        <v>30</v>
      </c>
      <c r="O332">
        <f>VLOOKUP(C332,[18]Sheet1!$A:$B,2,FALSE)</f>
        <v>17</v>
      </c>
    </row>
    <row r="333" spans="1:15" ht="22.2" customHeight="1">
      <c r="A333" t="s">
        <v>406</v>
      </c>
      <c r="B333" t="s">
        <v>63</v>
      </c>
      <c r="C333" t="s">
        <v>322</v>
      </c>
      <c r="D333">
        <f>VLOOKUP(B333,[16]Sheet1!$A:$B,2,FALSE)</f>
        <v>3</v>
      </c>
      <c r="E333">
        <f>VLOOKUP(C333,[16]Sheet1!$A:$B,2,FALSE)</f>
        <v>51</v>
      </c>
      <c r="F333">
        <f>VLOOKUP(B333,[17]Sheet1!$A:$C,2,FALSE)</f>
        <v>3</v>
      </c>
      <c r="G333">
        <f>VLOOKUP(B333,[17]Sheet1!$A:$C,3,FALSE)</f>
        <v>6</v>
      </c>
      <c r="H333">
        <f>VLOOKUP(C333,[17]Sheet1!$A:$C,2,FALSE)</f>
        <v>0</v>
      </c>
      <c r="I333">
        <f>VLOOKUP(C333,[17]Sheet1!$A:$C,3,FALSE)</f>
        <v>1</v>
      </c>
      <c r="M333">
        <v>-1</v>
      </c>
      <c r="N333" s="2">
        <f>VLOOKUP(B333,[18]Sheet1!$A:$B,2,FALSE)</f>
        <v>5</v>
      </c>
      <c r="O333">
        <f>VLOOKUP(C333,[18]Sheet1!$A:$B,2,FALSE)</f>
        <v>31</v>
      </c>
    </row>
    <row r="334" spans="1:15" ht="22.2" customHeight="1">
      <c r="A334" t="s">
        <v>407</v>
      </c>
      <c r="B334" t="s">
        <v>74</v>
      </c>
      <c r="C334" t="s">
        <v>40</v>
      </c>
      <c r="D334">
        <f>VLOOKUP(B334,[16]Sheet1!$A:$B,2,FALSE)</f>
        <v>13</v>
      </c>
      <c r="E334">
        <f>VLOOKUP(C334,[16]Sheet1!$A:$B,2,FALSE)</f>
        <v>26</v>
      </c>
      <c r="F334">
        <f>VLOOKUP(B334,[17]Sheet1!$A:$C,2,FALSE)</f>
        <v>1</v>
      </c>
      <c r="G334">
        <f>VLOOKUP(B334,[17]Sheet1!$A:$C,3,FALSE)</f>
        <v>3</v>
      </c>
      <c r="H334">
        <f>VLOOKUP(C334,[17]Sheet1!$A:$C,2,FALSE)</f>
        <v>1</v>
      </c>
      <c r="I334">
        <f>VLOOKUP(C334,[17]Sheet1!$A:$C,3,FALSE)</f>
        <v>2</v>
      </c>
      <c r="M334">
        <v>0</v>
      </c>
      <c r="N334" s="2">
        <f>VLOOKUP(B334,[18]Sheet1!$A:$B,2,FALSE)</f>
        <v>18</v>
      </c>
      <c r="O334">
        <f>VLOOKUP(C334,[18]Sheet1!$A:$B,2,FALSE)</f>
        <v>13</v>
      </c>
    </row>
    <row r="335" spans="1:15" ht="22.2" customHeight="1">
      <c r="A335" t="s">
        <v>408</v>
      </c>
      <c r="B335" t="s">
        <v>40</v>
      </c>
      <c r="C335" t="s">
        <v>322</v>
      </c>
      <c r="D335">
        <f>VLOOKUP(B335,[16]Sheet1!$A:$B,2,FALSE)</f>
        <v>26</v>
      </c>
      <c r="E335">
        <f>VLOOKUP(C335,[16]Sheet1!$A:$B,2,FALSE)</f>
        <v>51</v>
      </c>
      <c r="F335">
        <f>VLOOKUP(B335,[17]Sheet1!$A:$C,2,FALSE)</f>
        <v>1</v>
      </c>
      <c r="G335">
        <f>VLOOKUP(B335,[17]Sheet1!$A:$C,3,FALSE)</f>
        <v>2</v>
      </c>
      <c r="H335">
        <f>VLOOKUP(C335,[17]Sheet1!$A:$C,2,FALSE)</f>
        <v>0</v>
      </c>
      <c r="I335">
        <f>VLOOKUP(C335,[17]Sheet1!$A:$C,3,FALSE)</f>
        <v>1</v>
      </c>
      <c r="M335">
        <v>1</v>
      </c>
      <c r="N335" s="2">
        <f>VLOOKUP(B335,[18]Sheet1!$A:$B,2,FALSE)</f>
        <v>13</v>
      </c>
      <c r="O335">
        <f>VLOOKUP(C335,[18]Sheet1!$A:$B,2,FALSE)</f>
        <v>31</v>
      </c>
    </row>
    <row r="336" spans="1:15" ht="22.2" customHeight="1">
      <c r="A336" t="s">
        <v>409</v>
      </c>
      <c r="B336" t="s">
        <v>63</v>
      </c>
      <c r="C336" t="s">
        <v>74</v>
      </c>
      <c r="D336">
        <f>VLOOKUP(B336,[16]Sheet1!$A:$B,2,FALSE)</f>
        <v>3</v>
      </c>
      <c r="E336">
        <f>VLOOKUP(C336,[16]Sheet1!$A:$B,2,FALSE)</f>
        <v>13</v>
      </c>
      <c r="F336">
        <f>VLOOKUP(B336,[17]Sheet1!$A:$C,2,FALSE)</f>
        <v>3</v>
      </c>
      <c r="G336">
        <f>VLOOKUP(B336,[17]Sheet1!$A:$C,3,FALSE)</f>
        <v>6</v>
      </c>
      <c r="H336">
        <f>VLOOKUP(C336,[17]Sheet1!$A:$C,2,FALSE)</f>
        <v>1</v>
      </c>
      <c r="I336">
        <f>VLOOKUP(C336,[17]Sheet1!$A:$C,3,FALSE)</f>
        <v>3</v>
      </c>
      <c r="M336">
        <v>1</v>
      </c>
      <c r="N336" s="2">
        <f>VLOOKUP(B336,[18]Sheet1!$A:$B,2,FALSE)</f>
        <v>5</v>
      </c>
      <c r="O336">
        <f>VLOOKUP(C336,[18]Sheet1!$A:$B,2,FALSE)</f>
        <v>18</v>
      </c>
    </row>
    <row r="337" spans="1:15" ht="22.2" customHeight="1">
      <c r="A337" t="s">
        <v>410</v>
      </c>
      <c r="B337" t="s">
        <v>40</v>
      </c>
      <c r="C337" t="s">
        <v>63</v>
      </c>
      <c r="D337">
        <f>VLOOKUP(B337,[16]Sheet1!$A:$B,2,FALSE)</f>
        <v>26</v>
      </c>
      <c r="E337">
        <f>VLOOKUP(C337,[16]Sheet1!$A:$B,2,FALSE)</f>
        <v>3</v>
      </c>
      <c r="F337">
        <f>VLOOKUP(B337,[17]Sheet1!$A:$C,2,FALSE)</f>
        <v>1</v>
      </c>
      <c r="G337">
        <f>VLOOKUP(B337,[17]Sheet1!$A:$C,3,FALSE)</f>
        <v>2</v>
      </c>
      <c r="H337">
        <f>VLOOKUP(C337,[17]Sheet1!$A:$C,2,FALSE)</f>
        <v>3</v>
      </c>
      <c r="I337">
        <f>VLOOKUP(C337,[17]Sheet1!$A:$C,3,FALSE)</f>
        <v>6</v>
      </c>
      <c r="M337">
        <v>-1</v>
      </c>
      <c r="N337" s="2">
        <f>VLOOKUP(B337,[18]Sheet1!$A:$B,2,FALSE)</f>
        <v>13</v>
      </c>
      <c r="O337">
        <f>VLOOKUP(C337,[18]Sheet1!$A:$B,2,FALSE)</f>
        <v>5</v>
      </c>
    </row>
    <row r="338" spans="1:15" ht="22.2" customHeight="1">
      <c r="A338" t="s">
        <v>411</v>
      </c>
      <c r="B338" t="s">
        <v>322</v>
      </c>
      <c r="C338" t="s">
        <v>74</v>
      </c>
      <c r="D338">
        <f>VLOOKUP(B338,[16]Sheet1!$A:$B,2,FALSE)</f>
        <v>51</v>
      </c>
      <c r="E338">
        <f>VLOOKUP(C338,[16]Sheet1!$A:$B,2,FALSE)</f>
        <v>13</v>
      </c>
      <c r="F338">
        <f>VLOOKUP(B338,[17]Sheet1!$A:$C,2,FALSE)</f>
        <v>0</v>
      </c>
      <c r="G338">
        <f>VLOOKUP(B338,[17]Sheet1!$A:$C,3,FALSE)</f>
        <v>1</v>
      </c>
      <c r="H338">
        <f>VLOOKUP(C338,[17]Sheet1!$A:$C,2,FALSE)</f>
        <v>1</v>
      </c>
      <c r="I338">
        <f>VLOOKUP(C338,[17]Sheet1!$A:$C,3,FALSE)</f>
        <v>3</v>
      </c>
      <c r="M338">
        <v>-1</v>
      </c>
      <c r="N338" s="2">
        <f>VLOOKUP(B338,[18]Sheet1!$A:$B,2,FALSE)</f>
        <v>31</v>
      </c>
      <c r="O338">
        <f>VLOOKUP(C338,[18]Sheet1!$A:$B,2,FALSE)</f>
        <v>18</v>
      </c>
    </row>
    <row r="339" spans="1:15" ht="22.2" customHeight="1">
      <c r="A339" t="s">
        <v>412</v>
      </c>
      <c r="B339" t="s">
        <v>12</v>
      </c>
      <c r="C339" t="s">
        <v>87</v>
      </c>
      <c r="D339">
        <f>VLOOKUP(B339,[16]Sheet1!$A:$B,2,FALSE)</f>
        <v>10</v>
      </c>
      <c r="E339">
        <f>VLOOKUP(C339,[16]Sheet1!$A:$B,2,FALSE)</f>
        <v>30</v>
      </c>
      <c r="F339">
        <f>VLOOKUP(B339,[17]Sheet1!$A:$C,2,FALSE)</f>
        <v>1</v>
      </c>
      <c r="G339">
        <f>VLOOKUP(B339,[17]Sheet1!$A:$C,3,FALSE)</f>
        <v>4</v>
      </c>
      <c r="H339">
        <f>VLOOKUP(C339,[17]Sheet1!$A:$C,2,FALSE)</f>
        <v>0</v>
      </c>
      <c r="I339">
        <f>VLOOKUP(C339,[17]Sheet1!$A:$C,3,FALSE)</f>
        <v>1</v>
      </c>
      <c r="M339">
        <v>0</v>
      </c>
      <c r="N339" s="2">
        <f>VLOOKUP(B339,[18]Sheet1!$A:$B,2,FALSE)</f>
        <v>14</v>
      </c>
      <c r="O339">
        <f>VLOOKUP(C339,[18]Sheet1!$A:$B,2,FALSE)</f>
        <v>25</v>
      </c>
    </row>
    <row r="340" spans="1:15" ht="22.2" customHeight="1">
      <c r="A340" t="s">
        <v>413</v>
      </c>
      <c r="B340" t="s">
        <v>9</v>
      </c>
      <c r="C340" t="s">
        <v>145</v>
      </c>
      <c r="D340">
        <f>VLOOKUP(B340,[16]Sheet1!$A:$B,2,FALSE)</f>
        <v>4</v>
      </c>
      <c r="E340">
        <f>VLOOKUP(C340,[16]Sheet1!$A:$B,2,FALSE)</f>
        <v>38</v>
      </c>
      <c r="F340">
        <f>VLOOKUP(B340,[17]Sheet1!$A:$C,2,FALSE)</f>
        <v>4</v>
      </c>
      <c r="G340">
        <f>VLOOKUP(B340,[17]Sheet1!$A:$C,3,FALSE)</f>
        <v>8</v>
      </c>
      <c r="H340">
        <f>VLOOKUP(C340,[17]Sheet1!$A:$C,2,FALSE)</f>
        <v>0</v>
      </c>
      <c r="I340">
        <f>VLOOKUP(C340,[17]Sheet1!$A:$C,3,FALSE)</f>
        <v>1</v>
      </c>
      <c r="M340">
        <v>1</v>
      </c>
      <c r="N340" s="2">
        <f>VLOOKUP(B340,[18]Sheet1!$A:$B,2,FALSE)</f>
        <v>4</v>
      </c>
      <c r="O340">
        <f>VLOOKUP(C340,[18]Sheet1!$A:$B,2,FALSE)</f>
        <v>29</v>
      </c>
    </row>
    <row r="341" spans="1:15" ht="22.2" customHeight="1">
      <c r="A341" t="s">
        <v>414</v>
      </c>
      <c r="B341" t="s">
        <v>87</v>
      </c>
      <c r="C341" t="s">
        <v>145</v>
      </c>
      <c r="D341">
        <f>VLOOKUP(B341,[16]Sheet1!$A:$B,2,FALSE)</f>
        <v>30</v>
      </c>
      <c r="E341">
        <f>VLOOKUP(C341,[16]Sheet1!$A:$B,2,FALSE)</f>
        <v>38</v>
      </c>
      <c r="F341">
        <f>VLOOKUP(B341,[17]Sheet1!$A:$C,2,FALSE)</f>
        <v>0</v>
      </c>
      <c r="G341">
        <f>VLOOKUP(B341,[17]Sheet1!$A:$C,3,FALSE)</f>
        <v>1</v>
      </c>
      <c r="H341">
        <f>VLOOKUP(C341,[17]Sheet1!$A:$C,2,FALSE)</f>
        <v>0</v>
      </c>
      <c r="I341">
        <f>VLOOKUP(C341,[17]Sheet1!$A:$C,3,FALSE)</f>
        <v>1</v>
      </c>
      <c r="M341">
        <v>-1</v>
      </c>
      <c r="N341" s="2">
        <f>VLOOKUP(B341,[18]Sheet1!$A:$B,2,FALSE)</f>
        <v>25</v>
      </c>
      <c r="O341">
        <f>VLOOKUP(C341,[18]Sheet1!$A:$B,2,FALSE)</f>
        <v>29</v>
      </c>
    </row>
    <row r="342" spans="1:15" ht="22.2" customHeight="1">
      <c r="A342" t="s">
        <v>415</v>
      </c>
      <c r="B342" t="s">
        <v>9</v>
      </c>
      <c r="C342" t="s">
        <v>12</v>
      </c>
      <c r="D342">
        <f>VLOOKUP(B342,[16]Sheet1!$A:$B,2,FALSE)</f>
        <v>4</v>
      </c>
      <c r="E342">
        <f>VLOOKUP(C342,[16]Sheet1!$A:$B,2,FALSE)</f>
        <v>10</v>
      </c>
      <c r="F342">
        <f>VLOOKUP(B342,[17]Sheet1!$A:$C,2,FALSE)</f>
        <v>4</v>
      </c>
      <c r="G342">
        <f>VLOOKUP(B342,[17]Sheet1!$A:$C,3,FALSE)</f>
        <v>8</v>
      </c>
      <c r="H342">
        <f>VLOOKUP(C342,[17]Sheet1!$A:$C,2,FALSE)</f>
        <v>1</v>
      </c>
      <c r="I342">
        <f>VLOOKUP(C342,[17]Sheet1!$A:$C,3,FALSE)</f>
        <v>4</v>
      </c>
      <c r="M342">
        <v>1</v>
      </c>
      <c r="N342" s="2">
        <f>VLOOKUP(B342,[18]Sheet1!$A:$B,2,FALSE)</f>
        <v>4</v>
      </c>
      <c r="O342">
        <f>VLOOKUP(C342,[18]Sheet1!$A:$B,2,FALSE)</f>
        <v>14</v>
      </c>
    </row>
    <row r="343" spans="1:15" ht="22.2" customHeight="1">
      <c r="A343" t="s">
        <v>416</v>
      </c>
      <c r="B343" t="s">
        <v>145</v>
      </c>
      <c r="C343" t="s">
        <v>12</v>
      </c>
      <c r="D343">
        <f>VLOOKUP(B343,[16]Sheet1!$A:$B,2,FALSE)</f>
        <v>38</v>
      </c>
      <c r="E343">
        <f>VLOOKUP(C343,[16]Sheet1!$A:$B,2,FALSE)</f>
        <v>10</v>
      </c>
      <c r="F343">
        <f>VLOOKUP(B343,[17]Sheet1!$A:$C,2,FALSE)</f>
        <v>0</v>
      </c>
      <c r="G343">
        <f>VLOOKUP(B343,[17]Sheet1!$A:$C,3,FALSE)</f>
        <v>1</v>
      </c>
      <c r="H343">
        <f>VLOOKUP(C343,[17]Sheet1!$A:$C,2,FALSE)</f>
        <v>1</v>
      </c>
      <c r="I343">
        <f>VLOOKUP(C343,[17]Sheet1!$A:$C,3,FALSE)</f>
        <v>4</v>
      </c>
      <c r="M343">
        <v>1</v>
      </c>
      <c r="N343" s="2">
        <f>VLOOKUP(B343,[18]Sheet1!$A:$B,2,FALSE)</f>
        <v>29</v>
      </c>
      <c r="O343">
        <f>VLOOKUP(C343,[18]Sheet1!$A:$B,2,FALSE)</f>
        <v>14</v>
      </c>
    </row>
    <row r="344" spans="1:15" ht="22.2" customHeight="1">
      <c r="A344" t="s">
        <v>417</v>
      </c>
      <c r="B344" t="s">
        <v>87</v>
      </c>
      <c r="C344" t="s">
        <v>9</v>
      </c>
      <c r="D344">
        <f>VLOOKUP(B344,[16]Sheet1!$A:$B,2,FALSE)</f>
        <v>30</v>
      </c>
      <c r="E344">
        <f>VLOOKUP(C344,[16]Sheet1!$A:$B,2,FALSE)</f>
        <v>4</v>
      </c>
      <c r="F344">
        <f>VLOOKUP(B344,[17]Sheet1!$A:$C,2,FALSE)</f>
        <v>0</v>
      </c>
      <c r="G344">
        <f>VLOOKUP(B344,[17]Sheet1!$A:$C,3,FALSE)</f>
        <v>1</v>
      </c>
      <c r="H344">
        <f>VLOOKUP(C344,[17]Sheet1!$A:$C,2,FALSE)</f>
        <v>4</v>
      </c>
      <c r="I344">
        <f>VLOOKUP(C344,[17]Sheet1!$A:$C,3,FALSE)</f>
        <v>8</v>
      </c>
      <c r="M344">
        <v>1</v>
      </c>
      <c r="N344" s="2">
        <f>VLOOKUP(B344,[18]Sheet1!$A:$B,2,FALSE)</f>
        <v>25</v>
      </c>
      <c r="O344">
        <f>VLOOKUP(C344,[18]Sheet1!$A:$B,2,FALSE)</f>
        <v>4</v>
      </c>
    </row>
    <row r="345" spans="1:15" ht="22.2" customHeight="1">
      <c r="A345" t="s">
        <v>418</v>
      </c>
      <c r="B345" t="s">
        <v>56</v>
      </c>
      <c r="C345" t="s">
        <v>83</v>
      </c>
      <c r="D345">
        <f>VLOOKUP(B345,[16]Sheet1!$A:$B,2,FALSE)</f>
        <v>11</v>
      </c>
      <c r="E345">
        <f>VLOOKUP(C345,[16]Sheet1!$A:$B,2,FALSE)</f>
        <v>24</v>
      </c>
      <c r="F345">
        <f>VLOOKUP(B345,[17]Sheet1!$A:$C,2,FALSE)</f>
        <v>2</v>
      </c>
      <c r="G345">
        <f>VLOOKUP(B345,[17]Sheet1!$A:$C,3,FALSE)</f>
        <v>6</v>
      </c>
      <c r="H345">
        <f>VLOOKUP(C345,[17]Sheet1!$A:$C,2,FALSE)</f>
        <v>0</v>
      </c>
      <c r="I345">
        <f>VLOOKUP(C345,[17]Sheet1!$A:$C,3,FALSE)</f>
        <v>2</v>
      </c>
      <c r="M345">
        <v>-1</v>
      </c>
      <c r="N345" s="2">
        <f>VLOOKUP(B345,[18]Sheet1!$A:$B,2,FALSE)</f>
        <v>2</v>
      </c>
      <c r="O345">
        <f>VLOOKUP(C345,[18]Sheet1!$A:$B,2,FALSE)</f>
        <v>20</v>
      </c>
    </row>
    <row r="346" spans="1:15" ht="22.2" customHeight="1">
      <c r="A346" t="s">
        <v>419</v>
      </c>
      <c r="B346" t="s">
        <v>22</v>
      </c>
      <c r="C346" t="s">
        <v>33</v>
      </c>
      <c r="D346">
        <f>VLOOKUP(B346,[16]Sheet1!$A:$B,2,FALSE)</f>
        <v>7</v>
      </c>
      <c r="E346">
        <f>VLOOKUP(C346,[16]Sheet1!$A:$B,2,FALSE)</f>
        <v>31</v>
      </c>
      <c r="F346">
        <f>VLOOKUP(B346,[17]Sheet1!$A:$C,2,FALSE)</f>
        <v>2</v>
      </c>
      <c r="G346">
        <f>VLOOKUP(B346,[17]Sheet1!$A:$C,3,FALSE)</f>
        <v>6</v>
      </c>
      <c r="H346">
        <f>VLOOKUP(C346,[17]Sheet1!$A:$C,2,FALSE)</f>
        <v>1</v>
      </c>
      <c r="I346">
        <f>VLOOKUP(C346,[17]Sheet1!$A:$C,3,FALSE)</f>
        <v>2</v>
      </c>
      <c r="M346">
        <v>1</v>
      </c>
      <c r="N346" s="2">
        <f>VLOOKUP(B346,[18]Sheet1!$A:$B,2,FALSE)</f>
        <v>6</v>
      </c>
      <c r="O346">
        <f>VLOOKUP(C346,[18]Sheet1!$A:$B,2,FALSE)</f>
        <v>24</v>
      </c>
    </row>
    <row r="347" spans="1:15" ht="22.2" customHeight="1">
      <c r="A347" t="s">
        <v>420</v>
      </c>
      <c r="B347" t="s">
        <v>83</v>
      </c>
      <c r="C347" t="s">
        <v>33</v>
      </c>
      <c r="D347">
        <f>VLOOKUP(B347,[16]Sheet1!$A:$B,2,FALSE)</f>
        <v>24</v>
      </c>
      <c r="E347">
        <f>VLOOKUP(C347,[16]Sheet1!$A:$B,2,FALSE)</f>
        <v>31</v>
      </c>
      <c r="F347">
        <f>VLOOKUP(B347,[17]Sheet1!$A:$C,2,FALSE)</f>
        <v>0</v>
      </c>
      <c r="G347">
        <f>VLOOKUP(B347,[17]Sheet1!$A:$C,3,FALSE)</f>
        <v>2</v>
      </c>
      <c r="H347">
        <f>VLOOKUP(C347,[17]Sheet1!$A:$C,2,FALSE)</f>
        <v>1</v>
      </c>
      <c r="I347">
        <f>VLOOKUP(C347,[17]Sheet1!$A:$C,3,FALSE)</f>
        <v>2</v>
      </c>
      <c r="M347">
        <v>-1</v>
      </c>
      <c r="N347" s="2">
        <f>VLOOKUP(B347,[18]Sheet1!$A:$B,2,FALSE)</f>
        <v>20</v>
      </c>
      <c r="O347">
        <f>VLOOKUP(C347,[18]Sheet1!$A:$B,2,FALSE)</f>
        <v>24</v>
      </c>
    </row>
    <row r="348" spans="1:15" ht="22.2" customHeight="1">
      <c r="A348" t="s">
        <v>421</v>
      </c>
      <c r="B348" t="s">
        <v>22</v>
      </c>
      <c r="C348" t="s">
        <v>56</v>
      </c>
      <c r="D348">
        <f>VLOOKUP(B348,[16]Sheet1!$A:$B,2,FALSE)</f>
        <v>7</v>
      </c>
      <c r="E348">
        <f>VLOOKUP(C348,[16]Sheet1!$A:$B,2,FALSE)</f>
        <v>11</v>
      </c>
      <c r="F348">
        <f>VLOOKUP(B348,[17]Sheet1!$A:$C,2,FALSE)</f>
        <v>2</v>
      </c>
      <c r="G348">
        <f>VLOOKUP(B348,[17]Sheet1!$A:$C,3,FALSE)</f>
        <v>6</v>
      </c>
      <c r="H348">
        <f>VLOOKUP(C348,[17]Sheet1!$A:$C,2,FALSE)</f>
        <v>2</v>
      </c>
      <c r="I348">
        <f>VLOOKUP(C348,[17]Sheet1!$A:$C,3,FALSE)</f>
        <v>6</v>
      </c>
      <c r="M348">
        <v>0</v>
      </c>
      <c r="N348" s="2">
        <f>VLOOKUP(B348,[18]Sheet1!$A:$B,2,FALSE)</f>
        <v>6</v>
      </c>
      <c r="O348">
        <f>VLOOKUP(C348,[18]Sheet1!$A:$B,2,FALSE)</f>
        <v>2</v>
      </c>
    </row>
    <row r="349" spans="1:15" ht="22.2" customHeight="1">
      <c r="A349" t="s">
        <v>422</v>
      </c>
      <c r="B349" t="s">
        <v>83</v>
      </c>
      <c r="C349" t="s">
        <v>22</v>
      </c>
      <c r="D349">
        <f>VLOOKUP(B349,[16]Sheet1!$A:$B,2,FALSE)</f>
        <v>24</v>
      </c>
      <c r="E349">
        <f>VLOOKUP(C349,[16]Sheet1!$A:$B,2,FALSE)</f>
        <v>7</v>
      </c>
      <c r="F349">
        <f>VLOOKUP(B349,[17]Sheet1!$A:$C,2,FALSE)</f>
        <v>0</v>
      </c>
      <c r="G349">
        <f>VLOOKUP(B349,[17]Sheet1!$A:$C,3,FALSE)</f>
        <v>2</v>
      </c>
      <c r="H349">
        <f>VLOOKUP(C349,[17]Sheet1!$A:$C,2,FALSE)</f>
        <v>2</v>
      </c>
      <c r="I349">
        <f>VLOOKUP(C349,[17]Sheet1!$A:$C,3,FALSE)</f>
        <v>6</v>
      </c>
      <c r="M349">
        <v>1</v>
      </c>
      <c r="N349" s="2">
        <f>VLOOKUP(B349,[18]Sheet1!$A:$B,2,FALSE)</f>
        <v>20</v>
      </c>
      <c r="O349">
        <f>VLOOKUP(C349,[18]Sheet1!$A:$B,2,FALSE)</f>
        <v>6</v>
      </c>
    </row>
    <row r="350" spans="1:15" ht="22.2" customHeight="1">
      <c r="A350" t="s">
        <v>423</v>
      </c>
      <c r="B350" t="s">
        <v>33</v>
      </c>
      <c r="C350" t="s">
        <v>56</v>
      </c>
      <c r="D350">
        <f>VLOOKUP(B350,[16]Sheet1!$A:$B,2,FALSE)</f>
        <v>31</v>
      </c>
      <c r="E350">
        <f>VLOOKUP(C350,[16]Sheet1!$A:$B,2,FALSE)</f>
        <v>11</v>
      </c>
      <c r="F350">
        <f>VLOOKUP(B350,[17]Sheet1!$A:$C,2,FALSE)</f>
        <v>1</v>
      </c>
      <c r="G350">
        <f>VLOOKUP(B350,[17]Sheet1!$A:$C,3,FALSE)</f>
        <v>2</v>
      </c>
      <c r="H350">
        <f>VLOOKUP(C350,[17]Sheet1!$A:$C,2,FALSE)</f>
        <v>2</v>
      </c>
      <c r="I350">
        <f>VLOOKUP(C350,[17]Sheet1!$A:$C,3,FALSE)</f>
        <v>6</v>
      </c>
      <c r="M350">
        <v>-1</v>
      </c>
      <c r="N350" s="2">
        <f>VLOOKUP(B350,[18]Sheet1!$A:$B,2,FALSE)</f>
        <v>24</v>
      </c>
      <c r="O350">
        <f>VLOOKUP(C350,[18]Sheet1!$A:$B,2,FALSE)</f>
        <v>2</v>
      </c>
    </row>
    <row r="351" spans="1:15" ht="22.2" customHeight="1">
      <c r="A351" t="s">
        <v>424</v>
      </c>
      <c r="B351" t="s">
        <v>324</v>
      </c>
      <c r="C351" t="s">
        <v>73</v>
      </c>
      <c r="D351">
        <f>VLOOKUP(B351,[16]Sheet1!$A:$B,2,FALSE)</f>
        <v>22</v>
      </c>
      <c r="E351">
        <f>VLOOKUP(C351,[16]Sheet1!$A:$B,2,FALSE)</f>
        <v>12</v>
      </c>
      <c r="F351">
        <f>VLOOKUP(B351,[17]Sheet1!$A:$C,2,FALSE)</f>
        <v>1</v>
      </c>
      <c r="G351">
        <f>VLOOKUP(B351,[17]Sheet1!$A:$C,3,FALSE)</f>
        <v>3</v>
      </c>
      <c r="H351">
        <f>VLOOKUP(C351,[17]Sheet1!$A:$C,2,FALSE)</f>
        <v>2</v>
      </c>
      <c r="I351">
        <f>VLOOKUP(C351,[17]Sheet1!$A:$C,3,FALSE)</f>
        <v>4</v>
      </c>
      <c r="M351">
        <v>0</v>
      </c>
      <c r="N351" s="2">
        <f>VLOOKUP(B351,[18]Sheet1!$A:$B,2,FALSE)</f>
        <v>16</v>
      </c>
      <c r="O351">
        <f>VLOOKUP(C351,[18]Sheet1!$A:$B,2,FALSE)</f>
        <v>10</v>
      </c>
    </row>
    <row r="352" spans="1:15" ht="22.2" customHeight="1">
      <c r="A352" t="s">
        <v>425</v>
      </c>
      <c r="B352" t="s">
        <v>84</v>
      </c>
      <c r="C352" t="s">
        <v>426</v>
      </c>
      <c r="D352">
        <f>VLOOKUP(B352,[16]Sheet1!$A:$B,2,FALSE)</f>
        <v>2</v>
      </c>
      <c r="E352">
        <f>VLOOKUP(C352,[16]Sheet1!$A:$B,2,FALSE)</f>
        <v>41</v>
      </c>
      <c r="F352">
        <f>VLOOKUP(B352,[17]Sheet1!$A:$C,2,FALSE)</f>
        <v>3</v>
      </c>
      <c r="G352">
        <f>VLOOKUP(B352,[17]Sheet1!$A:$C,3,FALSE)</f>
        <v>7</v>
      </c>
      <c r="H352">
        <f>VLOOKUP(C352,[17]Sheet1!$A:$C,2,FALSE)</f>
        <v>1</v>
      </c>
      <c r="I352">
        <f>VLOOKUP(C352,[17]Sheet1!$A:$C,3,FALSE)</f>
        <v>2</v>
      </c>
      <c r="M352">
        <v>1</v>
      </c>
      <c r="N352" s="2">
        <f>VLOOKUP(B352,[18]Sheet1!$A:$B,2,FALSE)</f>
        <v>1</v>
      </c>
      <c r="O352">
        <f>VLOOKUP(C352,[18]Sheet1!$A:$B,2,FALSE)</f>
        <v>28</v>
      </c>
    </row>
    <row r="353" spans="1:15" ht="22.2" customHeight="1">
      <c r="A353" t="s">
        <v>427</v>
      </c>
      <c r="B353" t="s">
        <v>84</v>
      </c>
      <c r="C353" t="s">
        <v>324</v>
      </c>
      <c r="D353">
        <f>VLOOKUP(B353,[16]Sheet1!$A:$B,2,FALSE)</f>
        <v>2</v>
      </c>
      <c r="E353">
        <f>VLOOKUP(C353,[16]Sheet1!$A:$B,2,FALSE)</f>
        <v>22</v>
      </c>
      <c r="F353">
        <f>VLOOKUP(B353,[17]Sheet1!$A:$C,2,FALSE)</f>
        <v>3</v>
      </c>
      <c r="G353">
        <f>VLOOKUP(B353,[17]Sheet1!$A:$C,3,FALSE)</f>
        <v>7</v>
      </c>
      <c r="H353">
        <f>VLOOKUP(C353,[17]Sheet1!$A:$C,2,FALSE)</f>
        <v>1</v>
      </c>
      <c r="I353">
        <f>VLOOKUP(C353,[17]Sheet1!$A:$C,3,FALSE)</f>
        <v>3</v>
      </c>
      <c r="M353">
        <v>-1</v>
      </c>
      <c r="N353" s="2">
        <f>VLOOKUP(B353,[18]Sheet1!$A:$B,2,FALSE)</f>
        <v>1</v>
      </c>
      <c r="O353">
        <f>VLOOKUP(C353,[18]Sheet1!$A:$B,2,FALSE)</f>
        <v>16</v>
      </c>
    </row>
    <row r="354" spans="1:15" ht="22.2" customHeight="1">
      <c r="A354" t="s">
        <v>428</v>
      </c>
      <c r="B354" t="s">
        <v>73</v>
      </c>
      <c r="C354" t="s">
        <v>426</v>
      </c>
      <c r="D354">
        <f>VLOOKUP(B354,[16]Sheet1!$A:$B,2,FALSE)</f>
        <v>12</v>
      </c>
      <c r="E354">
        <f>VLOOKUP(C354,[16]Sheet1!$A:$B,2,FALSE)</f>
        <v>41</v>
      </c>
      <c r="F354">
        <f>VLOOKUP(B354,[17]Sheet1!$A:$C,2,FALSE)</f>
        <v>2</v>
      </c>
      <c r="G354">
        <f>VLOOKUP(B354,[17]Sheet1!$A:$C,3,FALSE)</f>
        <v>4</v>
      </c>
      <c r="H354">
        <f>VLOOKUP(C354,[17]Sheet1!$A:$C,2,FALSE)</f>
        <v>1</v>
      </c>
      <c r="I354">
        <f>VLOOKUP(C354,[17]Sheet1!$A:$C,3,FALSE)</f>
        <v>2</v>
      </c>
      <c r="M354">
        <v>1</v>
      </c>
      <c r="N354" s="2">
        <f>VLOOKUP(B354,[18]Sheet1!$A:$B,2,FALSE)</f>
        <v>10</v>
      </c>
      <c r="O354">
        <f>VLOOKUP(C354,[18]Sheet1!$A:$B,2,FALSE)</f>
        <v>28</v>
      </c>
    </row>
    <row r="355" spans="1:15" ht="22.2" customHeight="1">
      <c r="A355" t="s">
        <v>429</v>
      </c>
      <c r="B355" t="s">
        <v>73</v>
      </c>
      <c r="C355" t="s">
        <v>84</v>
      </c>
      <c r="D355">
        <f>VLOOKUP(B355,[16]Sheet1!$A:$B,2,FALSE)</f>
        <v>12</v>
      </c>
      <c r="E355">
        <f>VLOOKUP(C355,[16]Sheet1!$A:$B,2,FALSE)</f>
        <v>2</v>
      </c>
      <c r="F355">
        <f>VLOOKUP(B355,[17]Sheet1!$A:$C,2,FALSE)</f>
        <v>2</v>
      </c>
      <c r="G355">
        <f>VLOOKUP(B355,[17]Sheet1!$A:$C,3,FALSE)</f>
        <v>4</v>
      </c>
      <c r="H355">
        <f>VLOOKUP(C355,[17]Sheet1!$A:$C,2,FALSE)</f>
        <v>3</v>
      </c>
      <c r="I355">
        <f>VLOOKUP(C355,[17]Sheet1!$A:$C,3,FALSE)</f>
        <v>7</v>
      </c>
      <c r="M355">
        <v>0</v>
      </c>
      <c r="N355" s="2">
        <f>VLOOKUP(B355,[18]Sheet1!$A:$B,2,FALSE)</f>
        <v>10</v>
      </c>
      <c r="O355">
        <f>VLOOKUP(C355,[18]Sheet1!$A:$B,2,FALSE)</f>
        <v>1</v>
      </c>
    </row>
    <row r="356" spans="1:15" ht="22.2" customHeight="1">
      <c r="A356" t="s">
        <v>430</v>
      </c>
      <c r="B356" t="s">
        <v>426</v>
      </c>
      <c r="C356" t="s">
        <v>324</v>
      </c>
      <c r="D356">
        <f>VLOOKUP(B356,[16]Sheet1!$A:$B,2,FALSE)</f>
        <v>41</v>
      </c>
      <c r="E356">
        <f>VLOOKUP(C356,[16]Sheet1!$A:$B,2,FALSE)</f>
        <v>22</v>
      </c>
      <c r="F356">
        <f>VLOOKUP(B356,[17]Sheet1!$A:$C,2,FALSE)</f>
        <v>1</v>
      </c>
      <c r="G356">
        <f>VLOOKUP(B356,[17]Sheet1!$A:$C,3,FALSE)</f>
        <v>2</v>
      </c>
      <c r="H356">
        <f>VLOOKUP(C356,[17]Sheet1!$A:$C,2,FALSE)</f>
        <v>1</v>
      </c>
      <c r="I356">
        <f>VLOOKUP(C356,[17]Sheet1!$A:$C,3,FALSE)</f>
        <v>3</v>
      </c>
      <c r="M356">
        <v>-1</v>
      </c>
      <c r="N356" s="2">
        <f>VLOOKUP(B356,[18]Sheet1!$A:$B,2,FALSE)</f>
        <v>28</v>
      </c>
      <c r="O356">
        <f>VLOOKUP(C356,[18]Sheet1!$A:$B,2,FALSE)</f>
        <v>16</v>
      </c>
    </row>
    <row r="357" spans="1:15" ht="22.2" customHeight="1">
      <c r="A357" t="s">
        <v>431</v>
      </c>
      <c r="B357" t="s">
        <v>154</v>
      </c>
      <c r="C357" t="s">
        <v>54</v>
      </c>
      <c r="D357">
        <f>VLOOKUP(B357,[16]Sheet1!$A:$B,2,FALSE)</f>
        <v>15</v>
      </c>
      <c r="E357">
        <f>VLOOKUP(C357,[16]Sheet1!$A:$B,2,FALSE)</f>
        <v>43</v>
      </c>
      <c r="F357">
        <f>VLOOKUP(B357,[17]Sheet1!$A:$C,2,FALSE)</f>
        <v>1</v>
      </c>
      <c r="G357">
        <f>VLOOKUP(B357,[17]Sheet1!$A:$C,3,FALSE)</f>
        <v>3</v>
      </c>
      <c r="H357">
        <f>VLOOKUP(C357,[17]Sheet1!$A:$C,2,FALSE)</f>
        <v>1</v>
      </c>
      <c r="I357">
        <f>VLOOKUP(C357,[17]Sheet1!$A:$C,3,FALSE)</f>
        <v>2</v>
      </c>
      <c r="M357">
        <v>1</v>
      </c>
      <c r="N357" s="2">
        <f>VLOOKUP(B357,[18]Sheet1!$A:$B,2,FALSE)</f>
        <v>12</v>
      </c>
      <c r="O357">
        <f>VLOOKUP(C357,[18]Sheet1!$A:$B,2,FALSE)</f>
        <v>26</v>
      </c>
    </row>
    <row r="358" spans="1:15" ht="22.2" customHeight="1">
      <c r="A358" t="s">
        <v>432</v>
      </c>
      <c r="B358" t="s">
        <v>29</v>
      </c>
      <c r="C358" t="s">
        <v>122</v>
      </c>
      <c r="D358">
        <f>VLOOKUP(B358,[16]Sheet1!$A:$B,2,FALSE)</f>
        <v>1</v>
      </c>
      <c r="E358">
        <f>VLOOKUP(C358,[16]Sheet1!$A:$B,2,FALSE)</f>
        <v>21</v>
      </c>
      <c r="F358">
        <f>VLOOKUP(B358,[17]Sheet1!$A:$C,2,FALSE)</f>
        <v>4</v>
      </c>
      <c r="G358">
        <f>VLOOKUP(B358,[17]Sheet1!$A:$C,3,FALSE)</f>
        <v>9</v>
      </c>
      <c r="H358">
        <f>VLOOKUP(C358,[17]Sheet1!$A:$C,2,FALSE)</f>
        <v>1</v>
      </c>
      <c r="I358">
        <f>VLOOKUP(C358,[17]Sheet1!$A:$C,3,FALSE)</f>
        <v>3</v>
      </c>
      <c r="M358">
        <v>1</v>
      </c>
      <c r="N358" s="2">
        <f>VLOOKUP(B358,[18]Sheet1!$A:$B,2,FALSE)</f>
        <v>3</v>
      </c>
      <c r="O358">
        <f>VLOOKUP(C358,[18]Sheet1!$A:$B,2,FALSE)</f>
        <v>19</v>
      </c>
    </row>
    <row r="359" spans="1:15" ht="22.2" customHeight="1">
      <c r="A359" t="s">
        <v>433</v>
      </c>
      <c r="B359" t="s">
        <v>54</v>
      </c>
      <c r="C359" t="s">
        <v>122</v>
      </c>
      <c r="D359">
        <f>VLOOKUP(B359,[16]Sheet1!$A:$B,2,FALSE)</f>
        <v>43</v>
      </c>
      <c r="E359">
        <f>VLOOKUP(C359,[16]Sheet1!$A:$B,2,FALSE)</f>
        <v>21</v>
      </c>
      <c r="F359">
        <f>VLOOKUP(B359,[17]Sheet1!$A:$C,2,FALSE)</f>
        <v>1</v>
      </c>
      <c r="G359">
        <f>VLOOKUP(B359,[17]Sheet1!$A:$C,3,FALSE)</f>
        <v>2</v>
      </c>
      <c r="H359">
        <f>VLOOKUP(C359,[17]Sheet1!$A:$C,2,FALSE)</f>
        <v>1</v>
      </c>
      <c r="I359">
        <f>VLOOKUP(C359,[17]Sheet1!$A:$C,3,FALSE)</f>
        <v>3</v>
      </c>
      <c r="M359">
        <v>0</v>
      </c>
      <c r="N359" s="2">
        <f>VLOOKUP(B359,[18]Sheet1!$A:$B,2,FALSE)</f>
        <v>26</v>
      </c>
      <c r="O359">
        <f>VLOOKUP(C359,[18]Sheet1!$A:$B,2,FALSE)</f>
        <v>19</v>
      </c>
    </row>
    <row r="360" spans="1:15" ht="22.2" customHeight="1">
      <c r="A360" t="s">
        <v>434</v>
      </c>
      <c r="B360" t="s">
        <v>29</v>
      </c>
      <c r="C360" t="s">
        <v>154</v>
      </c>
      <c r="D360">
        <f>VLOOKUP(B360,[16]Sheet1!$A:$B,2,FALSE)</f>
        <v>1</v>
      </c>
      <c r="E360">
        <f>VLOOKUP(C360,[16]Sheet1!$A:$B,2,FALSE)</f>
        <v>15</v>
      </c>
      <c r="F360">
        <f>VLOOKUP(B360,[17]Sheet1!$A:$C,2,FALSE)</f>
        <v>4</v>
      </c>
      <c r="G360">
        <f>VLOOKUP(B360,[17]Sheet1!$A:$C,3,FALSE)</f>
        <v>9</v>
      </c>
      <c r="H360">
        <f>VLOOKUP(C360,[17]Sheet1!$A:$C,2,FALSE)</f>
        <v>1</v>
      </c>
      <c r="I360">
        <f>VLOOKUP(C360,[17]Sheet1!$A:$C,3,FALSE)</f>
        <v>3</v>
      </c>
      <c r="M360">
        <v>1</v>
      </c>
      <c r="N360" s="2">
        <f>VLOOKUP(B360,[18]Sheet1!$A:$B,2,FALSE)</f>
        <v>3</v>
      </c>
      <c r="O360">
        <f>VLOOKUP(C360,[18]Sheet1!$A:$B,2,FALSE)</f>
        <v>12</v>
      </c>
    </row>
    <row r="361" spans="1:15" ht="22.2" customHeight="1">
      <c r="A361" t="s">
        <v>435</v>
      </c>
      <c r="B361" t="s">
        <v>122</v>
      </c>
      <c r="C361" t="s">
        <v>154</v>
      </c>
      <c r="D361">
        <f>VLOOKUP(B361,[16]Sheet1!$A:$B,2,FALSE)</f>
        <v>21</v>
      </c>
      <c r="E361">
        <f>VLOOKUP(C361,[16]Sheet1!$A:$B,2,FALSE)</f>
        <v>15</v>
      </c>
      <c r="F361">
        <f>VLOOKUP(B361,[17]Sheet1!$A:$C,2,FALSE)</f>
        <v>1</v>
      </c>
      <c r="G361">
        <f>VLOOKUP(B361,[17]Sheet1!$A:$C,3,FALSE)</f>
        <v>3</v>
      </c>
      <c r="H361">
        <f>VLOOKUP(C361,[17]Sheet1!$A:$C,2,FALSE)</f>
        <v>1</v>
      </c>
      <c r="I361">
        <f>VLOOKUP(C361,[17]Sheet1!$A:$C,3,FALSE)</f>
        <v>3</v>
      </c>
      <c r="M361">
        <v>-1</v>
      </c>
      <c r="N361" s="2">
        <f>VLOOKUP(B361,[18]Sheet1!$A:$B,2,FALSE)</f>
        <v>19</v>
      </c>
      <c r="O361">
        <f>VLOOKUP(C361,[18]Sheet1!$A:$B,2,FALSE)</f>
        <v>12</v>
      </c>
    </row>
    <row r="362" spans="1:15" ht="22.2" customHeight="1">
      <c r="A362" t="s">
        <v>436</v>
      </c>
      <c r="B362" t="s">
        <v>54</v>
      </c>
      <c r="C362" t="s">
        <v>29</v>
      </c>
      <c r="D362">
        <f>VLOOKUP(B362,[16]Sheet1!$A:$B,2,FALSE)</f>
        <v>43</v>
      </c>
      <c r="E362">
        <f>VLOOKUP(C362,[16]Sheet1!$A:$B,2,FALSE)</f>
        <v>1</v>
      </c>
      <c r="F362">
        <f>VLOOKUP(B362,[17]Sheet1!$A:$C,2,FALSE)</f>
        <v>1</v>
      </c>
      <c r="G362">
        <f>VLOOKUP(B362,[17]Sheet1!$A:$C,3,FALSE)</f>
        <v>2</v>
      </c>
      <c r="H362">
        <f>VLOOKUP(C362,[17]Sheet1!$A:$C,2,FALSE)</f>
        <v>4</v>
      </c>
      <c r="I362">
        <f>VLOOKUP(C362,[17]Sheet1!$A:$C,3,FALSE)</f>
        <v>9</v>
      </c>
      <c r="M362">
        <v>1</v>
      </c>
      <c r="N362" s="2">
        <f>VLOOKUP(B362,[18]Sheet1!$A:$B,2,FALSE)</f>
        <v>26</v>
      </c>
      <c r="O362">
        <f>VLOOKUP(C362,[18]Sheet1!$A:$B,2,FALSE)</f>
        <v>3</v>
      </c>
    </row>
    <row r="363" spans="1:15" ht="22.2" customHeight="1">
      <c r="A363" t="s">
        <v>437</v>
      </c>
      <c r="B363" t="s">
        <v>11</v>
      </c>
      <c r="C363" t="s">
        <v>39</v>
      </c>
      <c r="D363">
        <f>VLOOKUP(B363,[16]Sheet1!$A:$B,2,FALSE)</f>
        <v>14</v>
      </c>
      <c r="E363">
        <f>VLOOKUP(C363,[16]Sheet1!$A:$B,2,FALSE)</f>
        <v>28</v>
      </c>
      <c r="F363">
        <f>VLOOKUP(B363,[17]Sheet1!$A:$C,2,FALSE)</f>
        <v>2</v>
      </c>
      <c r="G363">
        <f>VLOOKUP(B363,[17]Sheet1!$A:$C,3,FALSE)</f>
        <v>4</v>
      </c>
      <c r="H363">
        <f>VLOOKUP(C363,[17]Sheet1!$A:$C,2,FALSE)</f>
        <v>1</v>
      </c>
      <c r="I363">
        <f>VLOOKUP(C363,[17]Sheet1!$A:$C,3,FALSE)</f>
        <v>2</v>
      </c>
      <c r="M363">
        <v>0</v>
      </c>
      <c r="N363" s="2">
        <f>VLOOKUP(B363,[18]Sheet1!$A:$B,2,FALSE)</f>
        <v>11</v>
      </c>
      <c r="O363">
        <f>VLOOKUP(C363,[18]Sheet1!$A:$B,2,FALSE)</f>
        <v>21</v>
      </c>
    </row>
    <row r="364" spans="1:15" ht="22.2" customHeight="1">
      <c r="A364" t="s">
        <v>438</v>
      </c>
      <c r="B364" t="s">
        <v>43</v>
      </c>
      <c r="C364" t="s">
        <v>139</v>
      </c>
      <c r="D364">
        <f>VLOOKUP(B364,[16]Sheet1!$A:$B,2,FALSE)</f>
        <v>9</v>
      </c>
      <c r="E364">
        <f>VLOOKUP(C364,[16]Sheet1!$A:$B,2,FALSE)</f>
        <v>61</v>
      </c>
      <c r="F364">
        <f>VLOOKUP(B364,[17]Sheet1!$A:$C,2,FALSE)</f>
        <v>3</v>
      </c>
      <c r="G364">
        <f>VLOOKUP(B364,[17]Sheet1!$A:$C,3,FALSE)</f>
        <v>6</v>
      </c>
      <c r="H364">
        <f>VLOOKUP(C364,[17]Sheet1!$A:$C,2,FALSE)</f>
        <v>1</v>
      </c>
      <c r="I364">
        <f>VLOOKUP(C364,[17]Sheet1!$A:$C,3,FALSE)</f>
        <v>2</v>
      </c>
      <c r="M364">
        <v>1</v>
      </c>
      <c r="N364" s="2">
        <f>VLOOKUP(B364,[18]Sheet1!$A:$B,2,FALSE)</f>
        <v>7</v>
      </c>
      <c r="O364">
        <f>VLOOKUP(C364,[18]Sheet1!$A:$B,2,FALSE)</f>
        <v>27</v>
      </c>
    </row>
    <row r="365" spans="1:15" ht="22.2" customHeight="1">
      <c r="A365" t="s">
        <v>439</v>
      </c>
      <c r="B365" t="s">
        <v>39</v>
      </c>
      <c r="C365" t="s">
        <v>139</v>
      </c>
      <c r="D365">
        <f>VLOOKUP(B365,[16]Sheet1!$A:$B,2,FALSE)</f>
        <v>28</v>
      </c>
      <c r="E365">
        <f>VLOOKUP(C365,[16]Sheet1!$A:$B,2,FALSE)</f>
        <v>61</v>
      </c>
      <c r="F365">
        <f>VLOOKUP(B365,[17]Sheet1!$A:$C,2,FALSE)</f>
        <v>1</v>
      </c>
      <c r="G365">
        <f>VLOOKUP(B365,[17]Sheet1!$A:$C,3,FALSE)</f>
        <v>2</v>
      </c>
      <c r="H365">
        <f>VLOOKUP(C365,[17]Sheet1!$A:$C,2,FALSE)</f>
        <v>1</v>
      </c>
      <c r="I365">
        <f>VLOOKUP(C365,[17]Sheet1!$A:$C,3,FALSE)</f>
        <v>2</v>
      </c>
      <c r="M365">
        <v>-1</v>
      </c>
      <c r="N365" s="2">
        <f>VLOOKUP(B365,[18]Sheet1!$A:$B,2,FALSE)</f>
        <v>21</v>
      </c>
      <c r="O365">
        <f>VLOOKUP(C365,[18]Sheet1!$A:$B,2,FALSE)</f>
        <v>27</v>
      </c>
    </row>
    <row r="366" spans="1:15" ht="22.2" customHeight="1">
      <c r="A366" t="s">
        <v>440</v>
      </c>
      <c r="B366" t="s">
        <v>43</v>
      </c>
      <c r="C366" t="s">
        <v>11</v>
      </c>
      <c r="D366">
        <f>VLOOKUP(B366,[16]Sheet1!$A:$B,2,FALSE)</f>
        <v>9</v>
      </c>
      <c r="E366">
        <f>VLOOKUP(C366,[16]Sheet1!$A:$B,2,FALSE)</f>
        <v>14</v>
      </c>
      <c r="F366">
        <f>VLOOKUP(B366,[17]Sheet1!$A:$C,2,FALSE)</f>
        <v>3</v>
      </c>
      <c r="G366">
        <f>VLOOKUP(B366,[17]Sheet1!$A:$C,3,FALSE)</f>
        <v>6</v>
      </c>
      <c r="H366">
        <f>VLOOKUP(C366,[17]Sheet1!$A:$C,2,FALSE)</f>
        <v>2</v>
      </c>
      <c r="I366">
        <f>VLOOKUP(C366,[17]Sheet1!$A:$C,3,FALSE)</f>
        <v>4</v>
      </c>
      <c r="M366">
        <v>1</v>
      </c>
      <c r="N366" s="2">
        <f>VLOOKUP(B366,[18]Sheet1!$A:$B,2,FALSE)</f>
        <v>7</v>
      </c>
      <c r="O366">
        <f>VLOOKUP(C366,[18]Sheet1!$A:$B,2,FALSE)</f>
        <v>11</v>
      </c>
    </row>
    <row r="367" spans="1:15" ht="22.2" customHeight="1">
      <c r="A367" t="s">
        <v>441</v>
      </c>
      <c r="B367" t="s">
        <v>139</v>
      </c>
      <c r="C367" t="s">
        <v>11</v>
      </c>
      <c r="D367">
        <f>VLOOKUP(B367,[16]Sheet1!$A:$B,2,FALSE)</f>
        <v>61</v>
      </c>
      <c r="E367">
        <f>VLOOKUP(C367,[16]Sheet1!$A:$B,2,FALSE)</f>
        <v>14</v>
      </c>
      <c r="F367">
        <f>VLOOKUP(B367,[17]Sheet1!$A:$C,2,FALSE)</f>
        <v>1</v>
      </c>
      <c r="G367">
        <f>VLOOKUP(B367,[17]Sheet1!$A:$C,3,FALSE)</f>
        <v>2</v>
      </c>
      <c r="H367">
        <f>VLOOKUP(C367,[17]Sheet1!$A:$C,2,FALSE)</f>
        <v>2</v>
      </c>
      <c r="I367">
        <f>VLOOKUP(C367,[17]Sheet1!$A:$C,3,FALSE)</f>
        <v>4</v>
      </c>
      <c r="M367">
        <v>-1</v>
      </c>
      <c r="N367" s="2">
        <f>VLOOKUP(B367,[18]Sheet1!$A:$B,2,FALSE)</f>
        <v>27</v>
      </c>
      <c r="O367">
        <f>VLOOKUP(C367,[18]Sheet1!$A:$B,2,FALSE)</f>
        <v>11</v>
      </c>
    </row>
    <row r="368" spans="1:15" ht="22.2" customHeight="1">
      <c r="A368" t="s">
        <v>442</v>
      </c>
      <c r="B368" t="s">
        <v>39</v>
      </c>
      <c r="C368" t="s">
        <v>43</v>
      </c>
      <c r="D368">
        <f>VLOOKUP(B368,[16]Sheet1!$A:$B,2,FALSE)</f>
        <v>28</v>
      </c>
      <c r="E368">
        <f>VLOOKUP(C368,[16]Sheet1!$A:$B,2,FALSE)</f>
        <v>9</v>
      </c>
      <c r="F368">
        <f>VLOOKUP(B368,[17]Sheet1!$A:$C,2,FALSE)</f>
        <v>1</v>
      </c>
      <c r="G368">
        <f>VLOOKUP(B368,[17]Sheet1!$A:$C,3,FALSE)</f>
        <v>2</v>
      </c>
      <c r="H368">
        <f>VLOOKUP(C368,[17]Sheet1!$A:$C,2,FALSE)</f>
        <v>3</v>
      </c>
      <c r="I368">
        <f>VLOOKUP(C368,[17]Sheet1!$A:$C,3,FALSE)</f>
        <v>6</v>
      </c>
      <c r="M368">
        <v>1</v>
      </c>
      <c r="N368" s="2">
        <f>VLOOKUP(B368,[18]Sheet1!$A:$B,2,FALSE)</f>
        <v>21</v>
      </c>
      <c r="O368">
        <f>VLOOKUP(C368,[18]Sheet1!$A:$B,2,FALSE)</f>
        <v>7</v>
      </c>
    </row>
    <row r="369" spans="1:15" ht="22.2" customHeight="1">
      <c r="A369" t="s">
        <v>443</v>
      </c>
      <c r="B369" t="s">
        <v>123</v>
      </c>
      <c r="C369" t="s">
        <v>45</v>
      </c>
      <c r="D369">
        <f>VLOOKUP(B369,[16]Sheet1!$A:$B,2,FALSE)</f>
        <v>8</v>
      </c>
      <c r="E369">
        <f>VLOOKUP(C369,[16]Sheet1!$A:$B,2,FALSE)</f>
        <v>16</v>
      </c>
      <c r="F369">
        <f>VLOOKUP(B369,[17]Sheet1!$A:$C,2,FALSE)</f>
        <v>2</v>
      </c>
      <c r="G369">
        <f>VLOOKUP(B369,[17]Sheet1!$A:$C,3,FALSE)</f>
        <v>5</v>
      </c>
      <c r="H369">
        <f>VLOOKUP(C369,[17]Sheet1!$A:$C,2,FALSE)</f>
        <v>1</v>
      </c>
      <c r="I369">
        <f>VLOOKUP(C369,[17]Sheet1!$A:$C,3,FALSE)</f>
        <v>3</v>
      </c>
      <c r="M369">
        <v>1</v>
      </c>
      <c r="N369" s="2">
        <f>VLOOKUP(B369,[18]Sheet1!$A:$B,2,FALSE)</f>
        <v>8</v>
      </c>
      <c r="O369">
        <f>VLOOKUP(C369,[18]Sheet1!$A:$B,2,FALSE)</f>
        <v>17</v>
      </c>
    </row>
    <row r="370" spans="1:15" ht="22.2" customHeight="1">
      <c r="A370" t="s">
        <v>444</v>
      </c>
      <c r="B370" t="s">
        <v>63</v>
      </c>
      <c r="C370" t="s">
        <v>145</v>
      </c>
      <c r="D370">
        <f>VLOOKUP(B370,[16]Sheet1!$A:$B,2,FALSE)</f>
        <v>3</v>
      </c>
      <c r="E370">
        <f>VLOOKUP(C370,[16]Sheet1!$A:$B,2,FALSE)</f>
        <v>38</v>
      </c>
      <c r="F370">
        <f>VLOOKUP(B370,[17]Sheet1!$A:$C,2,FALSE)</f>
        <v>3</v>
      </c>
      <c r="G370">
        <f>VLOOKUP(B370,[17]Sheet1!$A:$C,3,FALSE)</f>
        <v>6</v>
      </c>
      <c r="H370">
        <f>VLOOKUP(C370,[17]Sheet1!$A:$C,2,FALSE)</f>
        <v>0</v>
      </c>
      <c r="I370">
        <f>VLOOKUP(C370,[17]Sheet1!$A:$C,3,FALSE)</f>
        <v>1</v>
      </c>
      <c r="M370">
        <v>1</v>
      </c>
      <c r="N370" s="2">
        <f>VLOOKUP(B370,[18]Sheet1!$A:$B,2,FALSE)</f>
        <v>5</v>
      </c>
      <c r="O370">
        <f>VLOOKUP(C370,[18]Sheet1!$A:$B,2,FALSE)</f>
        <v>29</v>
      </c>
    </row>
    <row r="371" spans="1:15" ht="22.2" customHeight="1">
      <c r="A371" t="s">
        <v>445</v>
      </c>
      <c r="B371" t="s">
        <v>83</v>
      </c>
      <c r="C371" t="s">
        <v>73</v>
      </c>
      <c r="D371">
        <f>VLOOKUP(B371,[16]Sheet1!$A:$B,2,FALSE)</f>
        <v>24</v>
      </c>
      <c r="E371">
        <f>VLOOKUP(C371,[16]Sheet1!$A:$B,2,FALSE)</f>
        <v>12</v>
      </c>
      <c r="F371">
        <f>VLOOKUP(B371,[17]Sheet1!$A:$C,2,FALSE)</f>
        <v>0</v>
      </c>
      <c r="G371">
        <f>VLOOKUP(B371,[17]Sheet1!$A:$C,3,FALSE)</f>
        <v>2</v>
      </c>
      <c r="H371">
        <f>VLOOKUP(C371,[17]Sheet1!$A:$C,2,FALSE)</f>
        <v>2</v>
      </c>
      <c r="I371">
        <f>VLOOKUP(C371,[17]Sheet1!$A:$C,3,FALSE)</f>
        <v>4</v>
      </c>
      <c r="M371">
        <v>0</v>
      </c>
      <c r="N371" s="2">
        <f>VLOOKUP(B371,[18]Sheet1!$A:$B,2,FALSE)</f>
        <v>20</v>
      </c>
      <c r="O371">
        <f>VLOOKUP(C371,[18]Sheet1!$A:$B,2,FALSE)</f>
        <v>10</v>
      </c>
    </row>
    <row r="372" spans="1:15" ht="22.2" customHeight="1">
      <c r="A372" t="s">
        <v>446</v>
      </c>
      <c r="B372" t="s">
        <v>29</v>
      </c>
      <c r="C372" t="s">
        <v>39</v>
      </c>
      <c r="D372">
        <f>VLOOKUP(B372,[16]Sheet1!$A:$B,2,FALSE)</f>
        <v>1</v>
      </c>
      <c r="E372">
        <f>VLOOKUP(C372,[16]Sheet1!$A:$B,2,FALSE)</f>
        <v>28</v>
      </c>
      <c r="F372">
        <f>VLOOKUP(B372,[17]Sheet1!$A:$C,2,FALSE)</f>
        <v>4</v>
      </c>
      <c r="G372">
        <f>VLOOKUP(B372,[17]Sheet1!$A:$C,3,FALSE)</f>
        <v>9</v>
      </c>
      <c r="H372">
        <f>VLOOKUP(C372,[17]Sheet1!$A:$C,2,FALSE)</f>
        <v>1</v>
      </c>
      <c r="I372">
        <f>VLOOKUP(C372,[17]Sheet1!$A:$C,3,FALSE)</f>
        <v>2</v>
      </c>
      <c r="M372">
        <v>1</v>
      </c>
      <c r="N372" s="2">
        <f>VLOOKUP(B372,[18]Sheet1!$A:$B,2,FALSE)</f>
        <v>3</v>
      </c>
      <c r="O372">
        <f>VLOOKUP(C372,[18]Sheet1!$A:$B,2,FALSE)</f>
        <v>21</v>
      </c>
    </row>
    <row r="373" spans="1:15" ht="22.2" customHeight="1">
      <c r="A373" t="s">
        <v>447</v>
      </c>
      <c r="B373" t="s">
        <v>66</v>
      </c>
      <c r="C373" t="s">
        <v>10</v>
      </c>
      <c r="D373">
        <f>VLOOKUP(B373,[16]Sheet1!$A:$B,2,FALSE)</f>
        <v>5</v>
      </c>
      <c r="E373">
        <f>VLOOKUP(C373,[16]Sheet1!$A:$B,2,FALSE)</f>
        <v>18</v>
      </c>
      <c r="F373">
        <f>VLOOKUP(B373,[17]Sheet1!$A:$C,2,FALSE)</f>
        <v>2</v>
      </c>
      <c r="G373">
        <f>VLOOKUP(B373,[17]Sheet1!$A:$C,3,FALSE)</f>
        <v>6</v>
      </c>
      <c r="H373">
        <f>VLOOKUP(C373,[17]Sheet1!$A:$C,2,FALSE)</f>
        <v>1</v>
      </c>
      <c r="I373">
        <f>VLOOKUP(C373,[17]Sheet1!$A:$C,3,FALSE)</f>
        <v>3</v>
      </c>
      <c r="M373">
        <v>1</v>
      </c>
      <c r="N373" s="2">
        <f>VLOOKUP(B373,[18]Sheet1!$A:$B,2,FALSE)</f>
        <v>9</v>
      </c>
      <c r="O373">
        <f>VLOOKUP(C373,[18]Sheet1!$A:$B,2,FALSE)</f>
        <v>15</v>
      </c>
    </row>
    <row r="374" spans="1:15" ht="22.2" customHeight="1">
      <c r="A374" t="s">
        <v>448</v>
      </c>
      <c r="B374" t="s">
        <v>9</v>
      </c>
      <c r="C374" t="s">
        <v>40</v>
      </c>
      <c r="D374">
        <f>VLOOKUP(B374,[16]Sheet1!$A:$B,2,FALSE)</f>
        <v>4</v>
      </c>
      <c r="E374">
        <f>VLOOKUP(C374,[16]Sheet1!$A:$B,2,FALSE)</f>
        <v>26</v>
      </c>
      <c r="F374">
        <f>VLOOKUP(B374,[17]Sheet1!$A:$C,2,FALSE)</f>
        <v>4</v>
      </c>
      <c r="G374">
        <f>VLOOKUP(B374,[17]Sheet1!$A:$C,3,FALSE)</f>
        <v>8</v>
      </c>
      <c r="H374">
        <f>VLOOKUP(C374,[17]Sheet1!$A:$C,2,FALSE)</f>
        <v>1</v>
      </c>
      <c r="I374">
        <f>VLOOKUP(C374,[17]Sheet1!$A:$C,3,FALSE)</f>
        <v>2</v>
      </c>
      <c r="M374">
        <v>1</v>
      </c>
      <c r="N374" s="2">
        <f>VLOOKUP(B374,[18]Sheet1!$A:$B,2,FALSE)</f>
        <v>4</v>
      </c>
      <c r="O374">
        <f>VLOOKUP(C374,[18]Sheet1!$A:$B,2,FALSE)</f>
        <v>13</v>
      </c>
    </row>
    <row r="375" spans="1:15" ht="22.2" customHeight="1">
      <c r="A375" t="s">
        <v>449</v>
      </c>
      <c r="B375" t="s">
        <v>324</v>
      </c>
      <c r="C375" t="s">
        <v>22</v>
      </c>
      <c r="D375">
        <f>VLOOKUP(B375,[16]Sheet1!$A:$B,2,FALSE)</f>
        <v>22</v>
      </c>
      <c r="E375">
        <f>VLOOKUP(C375,[16]Sheet1!$A:$B,2,FALSE)</f>
        <v>7</v>
      </c>
      <c r="F375">
        <f>VLOOKUP(B375,[17]Sheet1!$A:$C,2,FALSE)</f>
        <v>1</v>
      </c>
      <c r="G375">
        <f>VLOOKUP(B375,[17]Sheet1!$A:$C,3,FALSE)</f>
        <v>3</v>
      </c>
      <c r="H375">
        <f>VLOOKUP(C375,[17]Sheet1!$A:$C,2,FALSE)</f>
        <v>2</v>
      </c>
      <c r="I375">
        <f>VLOOKUP(C375,[17]Sheet1!$A:$C,3,FALSE)</f>
        <v>6</v>
      </c>
      <c r="M375">
        <v>0</v>
      </c>
      <c r="N375" s="2">
        <f>VLOOKUP(B375,[18]Sheet1!$A:$B,2,FALSE)</f>
        <v>16</v>
      </c>
      <c r="O375">
        <f>VLOOKUP(C375,[18]Sheet1!$A:$B,2,FALSE)</f>
        <v>6</v>
      </c>
    </row>
    <row r="376" spans="1:15" ht="22.2" customHeight="1">
      <c r="A376" t="s">
        <v>450</v>
      </c>
      <c r="B376" t="s">
        <v>43</v>
      </c>
      <c r="C376" t="s">
        <v>154</v>
      </c>
      <c r="D376">
        <f>VLOOKUP(B376,[16]Sheet1!$A:$B,2,FALSE)</f>
        <v>9</v>
      </c>
      <c r="E376">
        <f>VLOOKUP(C376,[16]Sheet1!$A:$B,2,FALSE)</f>
        <v>15</v>
      </c>
      <c r="F376">
        <f>VLOOKUP(B376,[17]Sheet1!$A:$C,2,FALSE)</f>
        <v>3</v>
      </c>
      <c r="G376">
        <f>VLOOKUP(B376,[17]Sheet1!$A:$C,3,FALSE)</f>
        <v>6</v>
      </c>
      <c r="H376">
        <f>VLOOKUP(C376,[17]Sheet1!$A:$C,2,FALSE)</f>
        <v>1</v>
      </c>
      <c r="I376">
        <f>VLOOKUP(C376,[17]Sheet1!$A:$C,3,FALSE)</f>
        <v>3</v>
      </c>
      <c r="M376">
        <v>1</v>
      </c>
      <c r="N376" s="2">
        <f>VLOOKUP(B376,[18]Sheet1!$A:$B,2,FALSE)</f>
        <v>7</v>
      </c>
      <c r="O376">
        <f>VLOOKUP(C376,[18]Sheet1!$A:$B,2,FALSE)</f>
        <v>12</v>
      </c>
    </row>
    <row r="377" spans="1:15" ht="22.2" customHeight="1">
      <c r="A377" t="s">
        <v>451</v>
      </c>
      <c r="B377" t="s">
        <v>123</v>
      </c>
      <c r="C377" t="s">
        <v>63</v>
      </c>
      <c r="D377">
        <f>VLOOKUP(B377,[16]Sheet1!$A:$B,2,FALSE)</f>
        <v>8</v>
      </c>
      <c r="E377">
        <f>VLOOKUP(C377,[16]Sheet1!$A:$B,2,FALSE)</f>
        <v>3</v>
      </c>
      <c r="F377">
        <f>VLOOKUP(B377,[17]Sheet1!$A:$C,2,FALSE)</f>
        <v>2</v>
      </c>
      <c r="G377">
        <f>VLOOKUP(B377,[17]Sheet1!$A:$C,3,FALSE)</f>
        <v>5</v>
      </c>
      <c r="H377">
        <f>VLOOKUP(C377,[17]Sheet1!$A:$C,2,FALSE)</f>
        <v>3</v>
      </c>
      <c r="I377">
        <f>VLOOKUP(C377,[17]Sheet1!$A:$C,3,FALSE)</f>
        <v>6</v>
      </c>
      <c r="M377">
        <v>0</v>
      </c>
      <c r="N377" s="2">
        <f>VLOOKUP(B377,[18]Sheet1!$A:$B,2,FALSE)</f>
        <v>8</v>
      </c>
      <c r="O377">
        <f>VLOOKUP(C377,[18]Sheet1!$A:$B,2,FALSE)</f>
        <v>5</v>
      </c>
    </row>
    <row r="378" spans="1:15" ht="22.2" customHeight="1">
      <c r="A378" t="s">
        <v>452</v>
      </c>
      <c r="B378" t="s">
        <v>73</v>
      </c>
      <c r="C378" t="s">
        <v>29</v>
      </c>
      <c r="D378">
        <f>VLOOKUP(B378,[16]Sheet1!$A:$B,2,FALSE)</f>
        <v>12</v>
      </c>
      <c r="E378">
        <f>VLOOKUP(C378,[16]Sheet1!$A:$B,2,FALSE)</f>
        <v>1</v>
      </c>
      <c r="F378">
        <f>VLOOKUP(B378,[17]Sheet1!$A:$C,2,FALSE)</f>
        <v>2</v>
      </c>
      <c r="G378">
        <f>VLOOKUP(B378,[17]Sheet1!$A:$C,3,FALSE)</f>
        <v>4</v>
      </c>
      <c r="H378">
        <f>VLOOKUP(C378,[17]Sheet1!$A:$C,2,FALSE)</f>
        <v>4</v>
      </c>
      <c r="I378">
        <f>VLOOKUP(C378,[17]Sheet1!$A:$C,3,FALSE)</f>
        <v>9</v>
      </c>
      <c r="M378">
        <v>0</v>
      </c>
      <c r="N378" s="2">
        <f>VLOOKUP(B378,[18]Sheet1!$A:$B,2,FALSE)</f>
        <v>10</v>
      </c>
      <c r="O378">
        <f>VLOOKUP(C378,[18]Sheet1!$A:$B,2,FALSE)</f>
        <v>3</v>
      </c>
    </row>
    <row r="379" spans="1:15" ht="22.2" customHeight="1">
      <c r="A379" t="s">
        <v>453</v>
      </c>
      <c r="B379" t="s">
        <v>66</v>
      </c>
      <c r="C379" t="s">
        <v>9</v>
      </c>
      <c r="D379">
        <f>VLOOKUP(B379,[16]Sheet1!$A:$B,2,FALSE)</f>
        <v>5</v>
      </c>
      <c r="E379">
        <f>VLOOKUP(C379,[16]Sheet1!$A:$B,2,FALSE)</f>
        <v>4</v>
      </c>
      <c r="F379">
        <f>VLOOKUP(B379,[17]Sheet1!$A:$C,2,FALSE)</f>
        <v>2</v>
      </c>
      <c r="G379">
        <f>VLOOKUP(B379,[17]Sheet1!$A:$C,3,FALSE)</f>
        <v>6</v>
      </c>
      <c r="H379">
        <f>VLOOKUP(C379,[17]Sheet1!$A:$C,2,FALSE)</f>
        <v>4</v>
      </c>
      <c r="I379">
        <f>VLOOKUP(C379,[17]Sheet1!$A:$C,3,FALSE)</f>
        <v>8</v>
      </c>
      <c r="M379">
        <v>-1</v>
      </c>
      <c r="N379" s="2">
        <f>VLOOKUP(B379,[18]Sheet1!$A:$B,2,FALSE)</f>
        <v>9</v>
      </c>
      <c r="O379">
        <f>VLOOKUP(C379,[18]Sheet1!$A:$B,2,FALSE)</f>
        <v>4</v>
      </c>
    </row>
    <row r="380" spans="1:15" ht="22.2" customHeight="1">
      <c r="A380" t="s">
        <v>454</v>
      </c>
      <c r="B380" t="s">
        <v>324</v>
      </c>
      <c r="C380" t="s">
        <v>43</v>
      </c>
      <c r="D380">
        <f>VLOOKUP(B380,[16]Sheet1!$A:$B,2,FALSE)</f>
        <v>22</v>
      </c>
      <c r="E380">
        <f>VLOOKUP(C380,[16]Sheet1!$A:$B,2,FALSE)</f>
        <v>9</v>
      </c>
      <c r="F380">
        <f>VLOOKUP(B380,[17]Sheet1!$A:$C,2,FALSE)</f>
        <v>1</v>
      </c>
      <c r="G380">
        <f>VLOOKUP(B380,[17]Sheet1!$A:$C,3,FALSE)</f>
        <v>3</v>
      </c>
      <c r="H380">
        <f>VLOOKUP(C380,[17]Sheet1!$A:$C,2,FALSE)</f>
        <v>3</v>
      </c>
      <c r="I380">
        <f>VLOOKUP(C380,[17]Sheet1!$A:$C,3,FALSE)</f>
        <v>6</v>
      </c>
      <c r="M380">
        <v>1</v>
      </c>
      <c r="N380" s="2">
        <f>VLOOKUP(B380,[18]Sheet1!$A:$B,2,FALSE)</f>
        <v>16</v>
      </c>
      <c r="O380">
        <f>VLOOKUP(C380,[18]Sheet1!$A:$B,2,FALSE)</f>
        <v>7</v>
      </c>
    </row>
    <row r="381" spans="1:15" ht="22.2" customHeight="1">
      <c r="A381" t="s">
        <v>455</v>
      </c>
      <c r="B381" t="s">
        <v>63</v>
      </c>
      <c r="C381" t="s">
        <v>73</v>
      </c>
      <c r="D381">
        <f>VLOOKUP(B381,[16]Sheet1!$A:$B,2,FALSE)</f>
        <v>3</v>
      </c>
      <c r="E381">
        <f>VLOOKUP(C381,[16]Sheet1!$A:$B,2,FALSE)</f>
        <v>12</v>
      </c>
      <c r="F381">
        <f>VLOOKUP(B381,[17]Sheet1!$A:$C,2,FALSE)</f>
        <v>3</v>
      </c>
      <c r="G381">
        <f>VLOOKUP(B381,[17]Sheet1!$A:$C,3,FALSE)</f>
        <v>6</v>
      </c>
      <c r="H381">
        <f>VLOOKUP(C381,[17]Sheet1!$A:$C,2,FALSE)</f>
        <v>2</v>
      </c>
      <c r="I381">
        <f>VLOOKUP(C381,[17]Sheet1!$A:$C,3,FALSE)</f>
        <v>4</v>
      </c>
      <c r="M381">
        <v>1</v>
      </c>
      <c r="N381" s="2">
        <f>VLOOKUP(B381,[18]Sheet1!$A:$B,2,FALSE)</f>
        <v>5</v>
      </c>
      <c r="O381">
        <f>VLOOKUP(C381,[18]Sheet1!$A:$B,2,FALSE)</f>
        <v>10</v>
      </c>
    </row>
    <row r="382" spans="1:15" ht="22.2" customHeight="1">
      <c r="A382" t="s">
        <v>456</v>
      </c>
      <c r="B382" t="s">
        <v>9</v>
      </c>
      <c r="C382" t="s">
        <v>324</v>
      </c>
      <c r="D382">
        <f>VLOOKUP(B382,[16]Sheet1!$A:$B,2,FALSE)</f>
        <v>4</v>
      </c>
      <c r="E382">
        <f>VLOOKUP(C382,[16]Sheet1!$A:$B,2,FALSE)</f>
        <v>22</v>
      </c>
      <c r="F382">
        <f>VLOOKUP(B382,[17]Sheet1!$A:$C,2,FALSE)</f>
        <v>4</v>
      </c>
      <c r="G382">
        <f>VLOOKUP(B382,[17]Sheet1!$A:$C,3,FALSE)</f>
        <v>8</v>
      </c>
      <c r="H382">
        <f>VLOOKUP(C382,[17]Sheet1!$A:$C,2,FALSE)</f>
        <v>1</v>
      </c>
      <c r="I382">
        <f>VLOOKUP(C382,[17]Sheet1!$A:$C,3,FALSE)</f>
        <v>3</v>
      </c>
      <c r="M382">
        <v>1</v>
      </c>
      <c r="N382" s="2">
        <f>VLOOKUP(B382,[18]Sheet1!$A:$B,2,FALSE)</f>
        <v>4</v>
      </c>
      <c r="O382">
        <f>VLOOKUP(C382,[18]Sheet1!$A:$B,2,FALSE)</f>
        <v>16</v>
      </c>
    </row>
    <row r="383" spans="1:15" ht="22.2" customHeight="1">
      <c r="A383" t="s">
        <v>457</v>
      </c>
      <c r="B383" t="s">
        <v>63</v>
      </c>
      <c r="C383" t="s">
        <v>9</v>
      </c>
      <c r="D383">
        <f>VLOOKUP(B383,[16]Sheet1!$A:$B,2,FALSE)</f>
        <v>3</v>
      </c>
      <c r="E383">
        <f>VLOOKUP(C383,[16]Sheet1!$A:$B,2,FALSE)</f>
        <v>4</v>
      </c>
      <c r="F383">
        <f>VLOOKUP(B383,[17]Sheet1!$A:$C,2,FALSE)</f>
        <v>3</v>
      </c>
      <c r="G383">
        <f>VLOOKUP(B383,[17]Sheet1!$A:$C,3,FALSE)</f>
        <v>6</v>
      </c>
      <c r="H383">
        <f>VLOOKUP(C383,[17]Sheet1!$A:$C,2,FALSE)</f>
        <v>4</v>
      </c>
      <c r="I383">
        <f>VLOOKUP(C383,[17]Sheet1!$A:$C,3,FALSE)</f>
        <v>8</v>
      </c>
      <c r="M383">
        <v>0</v>
      </c>
      <c r="N383" s="2">
        <f>VLOOKUP(B383,[18]Sheet1!$A:$B,2,FALSE)</f>
        <v>5</v>
      </c>
      <c r="O383">
        <f>VLOOKUP(C383,[18]Sheet1!$A:$B,2,FALSE)</f>
        <v>4</v>
      </c>
    </row>
    <row r="384" spans="1:15" ht="22.2" customHeight="1">
      <c r="A384" t="s">
        <v>458</v>
      </c>
      <c r="B384" t="s">
        <v>73</v>
      </c>
      <c r="C384" t="s">
        <v>324</v>
      </c>
      <c r="D384">
        <f>VLOOKUP(B384,[16]Sheet1!$A:$B,2,FALSE)</f>
        <v>12</v>
      </c>
      <c r="E384">
        <f>VLOOKUP(C384,[16]Sheet1!$A:$B,2,FALSE)</f>
        <v>22</v>
      </c>
      <c r="F384">
        <f>VLOOKUP(B384,[17]Sheet1!$A:$C,2,FALSE)</f>
        <v>2</v>
      </c>
      <c r="G384">
        <f>VLOOKUP(B384,[17]Sheet1!$A:$C,3,FALSE)</f>
        <v>4</v>
      </c>
      <c r="H384">
        <f>VLOOKUP(C384,[17]Sheet1!$A:$C,2,FALSE)</f>
        <v>1</v>
      </c>
      <c r="I384">
        <f>VLOOKUP(C384,[17]Sheet1!$A:$C,3,FALSE)</f>
        <v>3</v>
      </c>
      <c r="M384">
        <v>1</v>
      </c>
      <c r="N384" s="2">
        <f>VLOOKUP(B384,[18]Sheet1!$A:$B,2,FALSE)</f>
        <v>10</v>
      </c>
      <c r="O384">
        <f>VLOOKUP(C384,[18]Sheet1!$A:$B,2,FALSE)</f>
        <v>16</v>
      </c>
    </row>
    <row r="385" ht="22.2" customHeight="1"/>
    <row r="386" ht="22.2" customHeight="1"/>
    <row r="387" ht="22.2" customHeight="1"/>
    <row r="388" ht="22.2" customHeight="1"/>
    <row r="389" ht="22.2" customHeight="1"/>
    <row r="390" ht="22.2" customHeight="1"/>
    <row r="391" ht="22.2" customHeight="1"/>
    <row r="392" ht="22.2" customHeight="1"/>
    <row r="393" ht="22.2" customHeight="1"/>
    <row r="394" ht="22.2" customHeight="1"/>
    <row r="395" ht="22.2" customHeight="1"/>
    <row r="396" ht="22.2" customHeight="1"/>
    <row r="397" ht="22.2" customHeight="1"/>
    <row r="398" ht="22.2" customHeight="1"/>
    <row r="399" ht="22.2" customHeight="1"/>
    <row r="400" ht="22.2" customHeight="1"/>
    <row r="401" ht="22.2" customHeight="1"/>
    <row r="402" ht="22.2" customHeight="1"/>
    <row r="403" ht="22.2" customHeight="1"/>
    <row r="404" ht="22.2" customHeight="1"/>
    <row r="405" ht="22.2" customHeight="1"/>
    <row r="406" ht="22.2" customHeight="1"/>
    <row r="407" ht="22.2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kalindu gavesh</dc:creator>
  <cp:lastModifiedBy>kalindu gavesh</cp:lastModifiedBy>
  <dcterms:created xsi:type="dcterms:W3CDTF">2026-01-05T11:23:34Z</dcterms:created>
  <dcterms:modified xsi:type="dcterms:W3CDTF">2026-01-13T18:39:03Z</dcterms:modified>
</cp:coreProperties>
</file>