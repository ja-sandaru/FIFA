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</externalReferences>
  <calcPr calcId="124519"/>
</workbook>
</file>

<file path=xl/calcChain.xml><?xml version="1.0" encoding="utf-8"?>
<calcChain xmlns="http://schemas.openxmlformats.org/spreadsheetml/2006/main">
  <c r="O259" i="1"/>
  <c r="O260"/>
  <c r="O261"/>
  <c r="O262"/>
  <c r="O263"/>
  <c r="O264"/>
  <c r="O265"/>
  <c r="O266"/>
  <c r="O267"/>
  <c r="O268"/>
  <c r="O269"/>
  <c r="O270"/>
  <c r="O271"/>
  <c r="O272"/>
  <c r="O273"/>
  <c r="O274"/>
  <c r="O275"/>
  <c r="O276"/>
  <c r="O277"/>
  <c r="O278"/>
  <c r="O279"/>
  <c r="O280"/>
  <c r="O281"/>
  <c r="O282"/>
  <c r="O283"/>
  <c r="O284"/>
  <c r="O285"/>
  <c r="O286"/>
  <c r="O287"/>
  <c r="O288"/>
  <c r="O289"/>
  <c r="O290"/>
  <c r="O291"/>
  <c r="O292"/>
  <c r="O293"/>
  <c r="O294"/>
  <c r="O295"/>
  <c r="O296"/>
  <c r="O297"/>
  <c r="O298"/>
  <c r="O299"/>
  <c r="O300"/>
  <c r="O301"/>
  <c r="O302"/>
  <c r="O303"/>
  <c r="O304"/>
  <c r="O305"/>
  <c r="O306"/>
  <c r="O307"/>
  <c r="O308"/>
  <c r="O309"/>
  <c r="O310"/>
  <c r="O311"/>
  <c r="O312"/>
  <c r="O313"/>
  <c r="O314"/>
  <c r="O315"/>
  <c r="O316"/>
  <c r="O317"/>
  <c r="O318"/>
  <c r="O319"/>
  <c r="O320"/>
  <c r="O257"/>
  <c r="O258"/>
  <c r="N258"/>
  <c r="N259"/>
  <c r="N260"/>
  <c r="N261"/>
  <c r="N262"/>
  <c r="N263"/>
  <c r="N264"/>
  <c r="N265"/>
  <c r="N266"/>
  <c r="N267"/>
  <c r="N268"/>
  <c r="N269"/>
  <c r="N270"/>
  <c r="N271"/>
  <c r="N272"/>
  <c r="N273"/>
  <c r="N274"/>
  <c r="N275"/>
  <c r="N276"/>
  <c r="N277"/>
  <c r="N278"/>
  <c r="N279"/>
  <c r="N280"/>
  <c r="N281"/>
  <c r="N282"/>
  <c r="N283"/>
  <c r="N284"/>
  <c r="N285"/>
  <c r="N286"/>
  <c r="N287"/>
  <c r="N288"/>
  <c r="N289"/>
  <c r="N290"/>
  <c r="N291"/>
  <c r="N292"/>
  <c r="N293"/>
  <c r="N294"/>
  <c r="N295"/>
  <c r="N296"/>
  <c r="N297"/>
  <c r="N298"/>
  <c r="N299"/>
  <c r="N300"/>
  <c r="N301"/>
  <c r="N302"/>
  <c r="N303"/>
  <c r="N304"/>
  <c r="N305"/>
  <c r="N306"/>
  <c r="N307"/>
  <c r="N308"/>
  <c r="N309"/>
  <c r="N310"/>
  <c r="N311"/>
  <c r="N312"/>
  <c r="N313"/>
  <c r="N314"/>
  <c r="N315"/>
  <c r="N316"/>
  <c r="N317"/>
  <c r="N318"/>
  <c r="N319"/>
  <c r="N320"/>
  <c r="N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257"/>
  <c r="G272"/>
  <c r="G273"/>
  <c r="G274"/>
  <c r="G275"/>
  <c r="G276"/>
  <c r="G277"/>
  <c r="G278"/>
  <c r="G279"/>
  <c r="G280"/>
  <c r="G281"/>
  <c r="G282"/>
  <c r="G283"/>
  <c r="G284"/>
  <c r="G285"/>
  <c r="G286"/>
  <c r="G287"/>
  <c r="G288"/>
  <c r="G289"/>
  <c r="G290"/>
  <c r="G291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258"/>
  <c r="G259"/>
  <c r="G260"/>
  <c r="G261"/>
  <c r="G262"/>
  <c r="G263"/>
  <c r="G264"/>
  <c r="G265"/>
  <c r="G266"/>
  <c r="G267"/>
  <c r="G268"/>
  <c r="G269"/>
  <c r="G270"/>
  <c r="G271"/>
  <c r="G257"/>
  <c r="G256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257"/>
  <c r="F256"/>
  <c r="E258"/>
  <c r="E259"/>
  <c r="E260"/>
  <c r="E261"/>
  <c r="E262"/>
  <c r="E263"/>
  <c r="E264"/>
  <c r="E265"/>
  <c r="E266"/>
  <c r="E267"/>
  <c r="E268"/>
  <c r="E269"/>
  <c r="E270"/>
  <c r="E271"/>
  <c r="E272"/>
  <c r="E273"/>
  <c r="E274"/>
  <c r="E275"/>
  <c r="E276"/>
  <c r="E277"/>
  <c r="E278"/>
  <c r="E279"/>
  <c r="E280"/>
  <c r="E281"/>
  <c r="E282"/>
  <c r="E283"/>
  <c r="E284"/>
  <c r="E285"/>
  <c r="E286"/>
  <c r="E287"/>
  <c r="E288"/>
  <c r="E289"/>
  <c r="E290"/>
  <c r="E291"/>
  <c r="E292"/>
  <c r="E293"/>
  <c r="E294"/>
  <c r="E295"/>
  <c r="E296"/>
  <c r="E297"/>
  <c r="E298"/>
  <c r="E299"/>
  <c r="E300"/>
  <c r="E301"/>
  <c r="E302"/>
  <c r="E303"/>
  <c r="E304"/>
  <c r="E305"/>
  <c r="E306"/>
  <c r="E307"/>
  <c r="E308"/>
  <c r="E309"/>
  <c r="E310"/>
  <c r="E311"/>
  <c r="E312"/>
  <c r="E313"/>
  <c r="E314"/>
  <c r="E315"/>
  <c r="E316"/>
  <c r="E317"/>
  <c r="E318"/>
  <c r="E319"/>
  <c r="E320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E257"/>
  <c r="D257"/>
  <c r="E172"/>
  <c r="O194"/>
  <c r="O195"/>
  <c r="O196"/>
  <c r="O197"/>
  <c r="O198"/>
  <c r="O199"/>
  <c r="O200"/>
  <c r="O201"/>
  <c r="O202"/>
  <c r="O203"/>
  <c r="O204"/>
  <c r="O205"/>
  <c r="O206"/>
  <c r="O207"/>
  <c r="O208"/>
  <c r="O209"/>
  <c r="O210"/>
  <c r="O211"/>
  <c r="O212"/>
  <c r="O213"/>
  <c r="O214"/>
  <c r="O215"/>
  <c r="O216"/>
  <c r="O217"/>
  <c r="O218"/>
  <c r="O219"/>
  <c r="O220"/>
  <c r="O221"/>
  <c r="O222"/>
  <c r="O223"/>
  <c r="O224"/>
  <c r="O225"/>
  <c r="O226"/>
  <c r="O227"/>
  <c r="O228"/>
  <c r="O229"/>
  <c r="O230"/>
  <c r="O231"/>
  <c r="O232"/>
  <c r="O233"/>
  <c r="O234"/>
  <c r="O235"/>
  <c r="O236"/>
  <c r="O237"/>
  <c r="O238"/>
  <c r="O239"/>
  <c r="O240"/>
  <c r="O241"/>
  <c r="O242"/>
  <c r="O243"/>
  <c r="O244"/>
  <c r="O245"/>
  <c r="O246"/>
  <c r="O247"/>
  <c r="O248"/>
  <c r="O249"/>
  <c r="O250"/>
  <c r="O251"/>
  <c r="O252"/>
  <c r="O253"/>
  <c r="O254"/>
  <c r="O255"/>
  <c r="O256"/>
  <c r="O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N212"/>
  <c r="N213"/>
  <c r="N214"/>
  <c r="N215"/>
  <c r="N216"/>
  <c r="N217"/>
  <c r="N218"/>
  <c r="N219"/>
  <c r="N220"/>
  <c r="N221"/>
  <c r="N222"/>
  <c r="N223"/>
  <c r="N224"/>
  <c r="N225"/>
  <c r="N226"/>
  <c r="N227"/>
  <c r="N228"/>
  <c r="N229"/>
  <c r="N230"/>
  <c r="N231"/>
  <c r="N232"/>
  <c r="N233"/>
  <c r="N234"/>
  <c r="N235"/>
  <c r="N236"/>
  <c r="N237"/>
  <c r="N238"/>
  <c r="N239"/>
  <c r="N240"/>
  <c r="N241"/>
  <c r="N242"/>
  <c r="N243"/>
  <c r="N244"/>
  <c r="N245"/>
  <c r="N246"/>
  <c r="N247"/>
  <c r="N248"/>
  <c r="N249"/>
  <c r="N250"/>
  <c r="N251"/>
  <c r="N252"/>
  <c r="N253"/>
  <c r="N254"/>
  <c r="N255"/>
  <c r="N256"/>
  <c r="N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I193"/>
  <c r="H193"/>
  <c r="G194"/>
  <c r="G195"/>
  <c r="G196"/>
  <c r="G197"/>
  <c r="G198"/>
  <c r="G199"/>
  <c r="G200"/>
  <c r="G201"/>
  <c r="G202"/>
  <c r="G203"/>
  <c r="G204"/>
  <c r="G205"/>
  <c r="G206"/>
  <c r="G207"/>
  <c r="G208"/>
  <c r="G209"/>
  <c r="G210"/>
  <c r="G211"/>
  <c r="G212"/>
  <c r="G213"/>
  <c r="G214"/>
  <c r="G215"/>
  <c r="G216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6"/>
  <c r="G237"/>
  <c r="G238"/>
  <c r="G239"/>
  <c r="G240"/>
  <c r="G241"/>
  <c r="G242"/>
  <c r="G243"/>
  <c r="G244"/>
  <c r="G245"/>
  <c r="G246"/>
  <c r="G247"/>
  <c r="G248"/>
  <c r="G249"/>
  <c r="G250"/>
  <c r="G251"/>
  <c r="G252"/>
  <c r="G253"/>
  <c r="G254"/>
  <c r="G255"/>
  <c r="F194"/>
  <c r="F195"/>
  <c r="F196"/>
  <c r="F197"/>
  <c r="F198"/>
  <c r="F199"/>
  <c r="F200"/>
  <c r="F201"/>
  <c r="F202"/>
  <c r="F203"/>
  <c r="F204"/>
  <c r="F205"/>
  <c r="F206"/>
  <c r="F207"/>
  <c r="F208"/>
  <c r="F209"/>
  <c r="F210"/>
  <c r="F211"/>
  <c r="F212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G193"/>
  <c r="F193"/>
  <c r="G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29"/>
  <c r="N192"/>
  <c r="O186"/>
  <c r="O187"/>
  <c r="O188"/>
  <c r="O189"/>
  <c r="O190"/>
  <c r="O191"/>
  <c r="O192"/>
  <c r="N186"/>
  <c r="N187"/>
  <c r="N188"/>
  <c r="N189"/>
  <c r="N190"/>
  <c r="N191"/>
  <c r="I188"/>
  <c r="I189"/>
  <c r="I190"/>
  <c r="I191"/>
  <c r="I192"/>
  <c r="H186"/>
  <c r="H187"/>
  <c r="H188"/>
  <c r="H189"/>
  <c r="H190"/>
  <c r="H191"/>
  <c r="H192"/>
  <c r="G186"/>
  <c r="G187"/>
  <c r="G188"/>
  <c r="G189"/>
  <c r="G190"/>
  <c r="G191"/>
  <c r="G192"/>
  <c r="E186"/>
  <c r="E187"/>
  <c r="E188"/>
  <c r="E189"/>
  <c r="E190"/>
  <c r="E191"/>
  <c r="E192"/>
  <c r="D186"/>
  <c r="D187"/>
  <c r="D188"/>
  <c r="D189"/>
  <c r="D190"/>
  <c r="D191"/>
  <c r="D192"/>
  <c r="O172"/>
  <c r="O171"/>
  <c r="O170"/>
  <c r="N169"/>
  <c r="N168"/>
  <c r="O167"/>
  <c r="O165"/>
  <c r="N165"/>
  <c r="N152"/>
  <c r="O148"/>
  <c r="O149"/>
  <c r="O150"/>
  <c r="O151"/>
  <c r="O152"/>
  <c r="O153"/>
  <c r="O154"/>
  <c r="O155"/>
  <c r="O156"/>
  <c r="O157"/>
  <c r="O158"/>
  <c r="O159"/>
  <c r="O160"/>
  <c r="O161"/>
  <c r="O162"/>
  <c r="O163"/>
  <c r="O164"/>
  <c r="O166"/>
  <c r="O168"/>
  <c r="O169"/>
  <c r="O173"/>
  <c r="O174"/>
  <c r="O175"/>
  <c r="O176"/>
  <c r="O177"/>
  <c r="O178"/>
  <c r="O179"/>
  <c r="O180"/>
  <c r="O181"/>
  <c r="O182"/>
  <c r="O183"/>
  <c r="O184"/>
  <c r="O185"/>
  <c r="N147"/>
  <c r="N146"/>
  <c r="O143"/>
  <c r="O141"/>
  <c r="O138"/>
  <c r="O136"/>
  <c r="N140"/>
  <c r="N139"/>
  <c r="N138"/>
  <c r="O135"/>
  <c r="O130"/>
  <c r="O131"/>
  <c r="O132"/>
  <c r="O133"/>
  <c r="O134"/>
  <c r="O137"/>
  <c r="O139"/>
  <c r="O140"/>
  <c r="O142"/>
  <c r="O144"/>
  <c r="O145"/>
  <c r="O146"/>
  <c r="O147"/>
  <c r="N130"/>
  <c r="N131"/>
  <c r="N132"/>
  <c r="N133"/>
  <c r="N134"/>
  <c r="N135"/>
  <c r="N136"/>
  <c r="N137"/>
  <c r="N141"/>
  <c r="N142"/>
  <c r="N143"/>
  <c r="N144"/>
  <c r="N145"/>
  <c r="N148"/>
  <c r="N149"/>
  <c r="N150"/>
  <c r="N151"/>
  <c r="N153"/>
  <c r="N154"/>
  <c r="N155"/>
  <c r="N156"/>
  <c r="N157"/>
  <c r="N158"/>
  <c r="N159"/>
  <c r="N160"/>
  <c r="N161"/>
  <c r="N162"/>
  <c r="N163"/>
  <c r="N164"/>
  <c r="N166"/>
  <c r="N167"/>
  <c r="N170"/>
  <c r="N171"/>
  <c r="N172"/>
  <c r="N173"/>
  <c r="N174"/>
  <c r="N175"/>
  <c r="N176"/>
  <c r="N177"/>
  <c r="N178"/>
  <c r="N179"/>
  <c r="N180"/>
  <c r="N181"/>
  <c r="N182"/>
  <c r="N183"/>
  <c r="N184"/>
  <c r="N185"/>
  <c r="N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G130"/>
  <c r="G131"/>
  <c r="G132"/>
  <c r="G133"/>
  <c r="G134"/>
  <c r="G135"/>
  <c r="G136"/>
  <c r="G137"/>
  <c r="G138"/>
  <c r="G139"/>
  <c r="G140"/>
  <c r="G141"/>
  <c r="G142"/>
  <c r="G143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1"/>
  <c r="G162"/>
  <c r="G163"/>
  <c r="G164"/>
  <c r="G165"/>
  <c r="G166"/>
  <c r="G167"/>
  <c r="G168"/>
  <c r="G169"/>
  <c r="G170"/>
  <c r="G171"/>
  <c r="G172"/>
  <c r="G173"/>
  <c r="G174"/>
  <c r="G175"/>
  <c r="G176"/>
  <c r="G177"/>
  <c r="G178"/>
  <c r="G179"/>
  <c r="G180"/>
  <c r="G181"/>
  <c r="G182"/>
  <c r="G183"/>
  <c r="G184"/>
  <c r="G185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3"/>
  <c r="E174"/>
  <c r="E175"/>
  <c r="E176"/>
  <c r="E177"/>
  <c r="E178"/>
  <c r="E179"/>
  <c r="E180"/>
  <c r="E181"/>
  <c r="E182"/>
  <c r="E183"/>
  <c r="E184"/>
  <c r="E185"/>
  <c r="E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29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65"/>
  <c r="N66"/>
  <c r="N67"/>
  <c r="N68"/>
  <c r="N69"/>
  <c r="N70"/>
  <c r="N71"/>
  <c r="N72"/>
  <c r="N73"/>
  <c r="N74"/>
  <c r="N75"/>
  <c r="N76"/>
  <c r="N77"/>
  <c r="N78"/>
  <c r="N79"/>
  <c r="N80"/>
  <c r="N81"/>
  <c r="N82"/>
  <c r="N83"/>
  <c r="N84"/>
  <c r="N85"/>
  <c r="N86"/>
  <c r="N87"/>
  <c r="N88"/>
  <c r="N89"/>
  <c r="N90"/>
  <c r="N91"/>
  <c r="N92"/>
  <c r="N93"/>
  <c r="N94"/>
  <c r="N95"/>
  <c r="N96"/>
  <c r="N97"/>
  <c r="N98"/>
  <c r="N99"/>
  <c r="N100"/>
  <c r="N101"/>
  <c r="N102"/>
  <c r="N103"/>
  <c r="N104"/>
  <c r="N105"/>
  <c r="N106"/>
  <c r="N107"/>
  <c r="N108"/>
  <c r="N109"/>
  <c r="N110"/>
  <c r="N1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65"/>
  <c r="O3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2"/>
  <c r="N3"/>
  <c r="N4"/>
  <c r="N5"/>
  <c r="N6"/>
  <c r="N7"/>
  <c r="N8"/>
  <c r="N9"/>
  <c r="N10"/>
  <c r="N11"/>
  <c r="N12"/>
  <c r="N13"/>
  <c r="N14"/>
  <c r="N15"/>
  <c r="N16"/>
  <c r="N17"/>
  <c r="N18"/>
  <c r="N19"/>
  <c r="N20"/>
  <c r="N21"/>
  <c r="N22"/>
  <c r="N23"/>
  <c r="N24"/>
  <c r="N25"/>
  <c r="N26"/>
  <c r="N27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N46"/>
  <c r="N47"/>
  <c r="N48"/>
  <c r="N49"/>
  <c r="N50"/>
  <c r="N51"/>
  <c r="N52"/>
  <c r="N53"/>
  <c r="N54"/>
  <c r="N55"/>
  <c r="N56"/>
  <c r="N57"/>
  <c r="N58"/>
  <c r="N59"/>
  <c r="N60"/>
  <c r="N61"/>
  <c r="N62"/>
  <c r="N63"/>
  <c r="N64"/>
  <c r="N2"/>
  <c r="G90"/>
  <c r="F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90"/>
  <c r="I90"/>
  <c r="H90"/>
  <c r="D90"/>
  <c r="E89"/>
  <c r="E66"/>
  <c r="D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G67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1"/>
  <c r="G92"/>
  <c r="G93"/>
  <c r="G94"/>
  <c r="G95"/>
  <c r="G96"/>
  <c r="G97"/>
  <c r="G98"/>
  <c r="G99"/>
  <c r="G100"/>
  <c r="G101"/>
  <c r="G102"/>
  <c r="G103"/>
  <c r="G104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I65"/>
  <c r="I66"/>
  <c r="H65"/>
  <c r="H66"/>
  <c r="G66"/>
  <c r="F66"/>
  <c r="D65"/>
  <c r="E65"/>
  <c r="G65"/>
  <c r="H64"/>
  <c r="G64"/>
  <c r="F65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I59"/>
  <c r="I60"/>
  <c r="I61"/>
  <c r="I62"/>
  <c r="I63"/>
  <c r="I64"/>
  <c r="H59"/>
  <c r="H60"/>
  <c r="H61"/>
  <c r="H62"/>
  <c r="H63"/>
  <c r="G59"/>
  <c r="G60"/>
  <c r="G61"/>
  <c r="G62"/>
  <c r="G63"/>
  <c r="F59"/>
  <c r="F60"/>
  <c r="F61"/>
  <c r="F62"/>
  <c r="F63"/>
  <c r="F64"/>
  <c r="E59"/>
  <c r="E60"/>
  <c r="E61"/>
  <c r="E62"/>
  <c r="E63"/>
  <c r="E64"/>
  <c r="D59"/>
  <c r="D60"/>
  <c r="D61"/>
  <c r="D62"/>
  <c r="D63"/>
  <c r="D64"/>
  <c r="I49"/>
  <c r="I50"/>
  <c r="I51"/>
  <c r="I52"/>
  <c r="I53"/>
  <c r="I54"/>
  <c r="I55"/>
  <c r="I56"/>
  <c r="I57"/>
  <c r="I58"/>
  <c r="H49"/>
  <c r="H50"/>
  <c r="H51"/>
  <c r="H52"/>
  <c r="H53"/>
  <c r="H54"/>
  <c r="H55"/>
  <c r="H56"/>
  <c r="H57"/>
  <c r="H58"/>
  <c r="G49"/>
  <c r="G50"/>
  <c r="G51"/>
  <c r="G52"/>
  <c r="G53"/>
  <c r="G54"/>
  <c r="G55"/>
  <c r="G56"/>
  <c r="G57"/>
  <c r="G58"/>
  <c r="F49"/>
  <c r="F50"/>
  <c r="F51"/>
  <c r="F52"/>
  <c r="F53"/>
  <c r="F54"/>
  <c r="F55"/>
  <c r="F56"/>
  <c r="F57"/>
  <c r="F58"/>
  <c r="E49"/>
  <c r="E50"/>
  <c r="E51"/>
  <c r="E52"/>
  <c r="E53"/>
  <c r="E54"/>
  <c r="E55"/>
  <c r="E56"/>
  <c r="E57"/>
  <c r="E58"/>
  <c r="D49"/>
  <c r="D50"/>
  <c r="D51"/>
  <c r="D52"/>
  <c r="D53"/>
  <c r="D54"/>
  <c r="D55"/>
  <c r="D56"/>
  <c r="D57"/>
  <c r="D58"/>
  <c r="D26"/>
  <c r="D25"/>
  <c r="I18"/>
  <c r="I3"/>
  <c r="I4"/>
  <c r="I5"/>
  <c r="I6"/>
  <c r="I7"/>
  <c r="I8"/>
  <c r="I9"/>
  <c r="I10"/>
  <c r="I11"/>
  <c r="I12"/>
  <c r="I13"/>
  <c r="I14"/>
  <c r="I15"/>
  <c r="I16"/>
  <c r="I17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2"/>
  <c r="G3"/>
  <c r="G4"/>
  <c r="G5"/>
  <c r="G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2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2"/>
  <c r="D42"/>
  <c r="D43"/>
  <c r="D44"/>
  <c r="D45"/>
  <c r="D46"/>
  <c r="D47"/>
  <c r="D4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D29"/>
  <c r="D30"/>
  <c r="D31"/>
  <c r="D32"/>
  <c r="D33"/>
  <c r="D34"/>
  <c r="D35"/>
  <c r="D36"/>
  <c r="D37"/>
  <c r="D38"/>
  <c r="D39"/>
  <c r="D40"/>
  <c r="D41"/>
  <c r="E20"/>
  <c r="E21"/>
  <c r="E22"/>
  <c r="E23"/>
  <c r="E24"/>
  <c r="E25"/>
  <c r="E26"/>
  <c r="E27"/>
  <c r="E28"/>
  <c r="D23"/>
  <c r="D24"/>
  <c r="D27"/>
  <c r="D28"/>
  <c r="D20"/>
  <c r="D21"/>
  <c r="D22"/>
  <c r="D15"/>
  <c r="E3"/>
  <c r="E4"/>
  <c r="E5"/>
  <c r="E6"/>
  <c r="E7"/>
  <c r="E8"/>
  <c r="E9"/>
  <c r="E10"/>
  <c r="E11"/>
  <c r="E12"/>
  <c r="E13"/>
  <c r="E14"/>
  <c r="E15"/>
  <c r="E16"/>
  <c r="E17"/>
  <c r="E18"/>
  <c r="E19"/>
  <c r="D3"/>
  <c r="D4"/>
  <c r="D5"/>
  <c r="D6"/>
  <c r="D7"/>
  <c r="D8"/>
  <c r="D9"/>
  <c r="D10"/>
  <c r="D11"/>
  <c r="D12"/>
  <c r="D13"/>
  <c r="D14"/>
  <c r="D16"/>
  <c r="D17"/>
  <c r="D18"/>
  <c r="D19"/>
  <c r="E2"/>
  <c r="D2"/>
</calcChain>
</file>

<file path=xl/sharedStrings.xml><?xml version="1.0" encoding="utf-8"?>
<sst xmlns="http://schemas.openxmlformats.org/spreadsheetml/2006/main" count="972" uniqueCount="393">
  <si>
    <t>Match</t>
  </si>
  <si>
    <t>Team1</t>
  </si>
  <si>
    <t>Team2</t>
  </si>
  <si>
    <t>Team1_rank</t>
  </si>
  <si>
    <t>Team2_rank</t>
  </si>
  <si>
    <t>Team1_Recent_form</t>
  </si>
  <si>
    <t>Team2_Recent_form</t>
  </si>
  <si>
    <t>Team1_Result</t>
  </si>
  <si>
    <t>2002FrancevsSenagal</t>
  </si>
  <si>
    <t>France</t>
  </si>
  <si>
    <t>Senegal</t>
  </si>
  <si>
    <t>Uruguay</t>
  </si>
  <si>
    <t>Denmark</t>
  </si>
  <si>
    <t>2002FrancevsUruguay</t>
  </si>
  <si>
    <t>2002DenmarkvsSenegal</t>
  </si>
  <si>
    <t>2002UruguayvsDenmark</t>
  </si>
  <si>
    <t>2002DenmarkvsFrance</t>
  </si>
  <si>
    <t>2002SenegalvsUruguay</t>
  </si>
  <si>
    <t>2002ParaguayvsSouthAffrica</t>
  </si>
  <si>
    <t>Paraguay</t>
  </si>
  <si>
    <t>South Africa</t>
  </si>
  <si>
    <t>2002SpainvsSlovenia</t>
  </si>
  <si>
    <t>Spain</t>
  </si>
  <si>
    <t>Slovenia</t>
  </si>
  <si>
    <t>2002SpainvsSParaguay</t>
  </si>
  <si>
    <t>2002SfvsSlo</t>
  </si>
  <si>
    <t>2002SfvsSpin</t>
  </si>
  <si>
    <t>2002Slovspara</t>
  </si>
  <si>
    <t>2002BravsTur</t>
  </si>
  <si>
    <t>Brazil</t>
  </si>
  <si>
    <t>Turkey</t>
  </si>
  <si>
    <t>2002ChinavsCoRi</t>
  </si>
  <si>
    <t>China</t>
  </si>
  <si>
    <t>Costa Rica</t>
  </si>
  <si>
    <t>2002BravsChi</t>
  </si>
  <si>
    <t>2002CoRavsTur</t>
  </si>
  <si>
    <t>2002CoRavsBra</t>
  </si>
  <si>
    <t>2002TurvsChina</t>
  </si>
  <si>
    <t>2002SKvspol</t>
  </si>
  <si>
    <t>South Korea</t>
  </si>
  <si>
    <t>Poland</t>
  </si>
  <si>
    <t>2002USvsPor</t>
  </si>
  <si>
    <t>United States</t>
  </si>
  <si>
    <t>Portugal</t>
  </si>
  <si>
    <t>2002SkvsUs</t>
  </si>
  <si>
    <t>United states</t>
  </si>
  <si>
    <t>2002PorvsPol</t>
  </si>
  <si>
    <t>2002PolvsUS</t>
  </si>
  <si>
    <t>Team1_Star_Player_Count</t>
  </si>
  <si>
    <t>Team1_Top100_players</t>
  </si>
  <si>
    <t>Team2_Star_Player_Count</t>
  </si>
  <si>
    <t>Team2_Top100_players</t>
  </si>
  <si>
    <t>2002IrdvsCame</t>
  </si>
  <si>
    <t>Ireland</t>
  </si>
  <si>
    <t>Cameroon</t>
  </si>
  <si>
    <t>2002GervsSa</t>
  </si>
  <si>
    <t>Germany</t>
  </si>
  <si>
    <t>Saudi arabia</t>
  </si>
  <si>
    <t>2002GenvaIrd</t>
  </si>
  <si>
    <t>2002CamvsSa</t>
  </si>
  <si>
    <t>2002CamvsGen</t>
  </si>
  <si>
    <t>2002SAvsIrd</t>
  </si>
  <si>
    <t>2002ArgvsNig</t>
  </si>
  <si>
    <t>Argentina</t>
  </si>
  <si>
    <t>Nigeria</t>
  </si>
  <si>
    <t>2002EngvsSwe</t>
  </si>
  <si>
    <t>England</t>
  </si>
  <si>
    <t>Sweden</t>
  </si>
  <si>
    <t>2002SewvsNig</t>
  </si>
  <si>
    <t>2002ArgvsEng</t>
  </si>
  <si>
    <t>2002SwevsArg</t>
  </si>
  <si>
    <t>2002NigvsEng</t>
  </si>
  <si>
    <t>2002CrovsMex</t>
  </si>
  <si>
    <t>Croatia</t>
  </si>
  <si>
    <t>Mexico</t>
  </si>
  <si>
    <t>2002ItavsEcu</t>
  </si>
  <si>
    <t>Italy</t>
  </si>
  <si>
    <t>Ecuador</t>
  </si>
  <si>
    <t>2002ItavsCro</t>
  </si>
  <si>
    <t>2002MexvsEcu</t>
  </si>
  <si>
    <t>2002MexvsIta</t>
  </si>
  <si>
    <t>2002EcuvsCroatia</t>
  </si>
  <si>
    <t>2002JapvsBel</t>
  </si>
  <si>
    <t>Japan</t>
  </si>
  <si>
    <t>Belgium</t>
  </si>
  <si>
    <t>2002RusvsTun</t>
  </si>
  <si>
    <t>Russia</t>
  </si>
  <si>
    <t>Tunisia</t>
  </si>
  <si>
    <t>2002japvsRus</t>
  </si>
  <si>
    <t>2002TunvsBel</t>
  </si>
  <si>
    <t>2002TunvsJpa</t>
  </si>
  <si>
    <t>2002BelvsRussia</t>
  </si>
  <si>
    <t>2002GenvsPara</t>
  </si>
  <si>
    <t>2002MexvsUs</t>
  </si>
  <si>
    <t>2002SpavsIrd</t>
  </si>
  <si>
    <t>2002SkvsIta</t>
  </si>
  <si>
    <t>2002DenvsEng</t>
  </si>
  <si>
    <t>2002BravsBel</t>
  </si>
  <si>
    <t>2002SewvsSen</t>
  </si>
  <si>
    <t>2002JapvsTur</t>
  </si>
  <si>
    <t>2002GenvsUS</t>
  </si>
  <si>
    <t>2002SpavsSk</t>
  </si>
  <si>
    <t>2002EngvsBra</t>
  </si>
  <si>
    <t>2002SenvsTur</t>
  </si>
  <si>
    <t>2002GenvsSk</t>
  </si>
  <si>
    <t>2002Final_GenvsBra</t>
  </si>
  <si>
    <t>2002SkvsTur</t>
  </si>
  <si>
    <t>2006GervsCoRi</t>
  </si>
  <si>
    <t>2006PolvsRcu</t>
  </si>
  <si>
    <t>2006GervsPol</t>
  </si>
  <si>
    <t>2006EcuvsCoRi</t>
  </si>
  <si>
    <t>2006EcuvsGer</t>
  </si>
  <si>
    <t>2006CoRivsPol</t>
  </si>
  <si>
    <t>2006EngvsPar</t>
  </si>
  <si>
    <t>2006TruTivsSew</t>
  </si>
  <si>
    <t>Trinidad</t>
  </si>
  <si>
    <t>2006EngvsTrito</t>
  </si>
  <si>
    <t>2006SwevsEng</t>
  </si>
  <si>
    <t>2006paravsTrinidad</t>
  </si>
  <si>
    <t>2006ArgvsLoco</t>
  </si>
  <si>
    <t>Ivory Coast</t>
  </si>
  <si>
    <t>2006SeMonvsNet</t>
  </si>
  <si>
    <t>Serbia</t>
  </si>
  <si>
    <t>Netherlands</t>
  </si>
  <si>
    <t>2006ArgvsSeMon</t>
  </si>
  <si>
    <t>2006NethvsIvCo</t>
  </si>
  <si>
    <t>2006NethvsArg</t>
  </si>
  <si>
    <t>2006IvoCovsSer</t>
  </si>
  <si>
    <t>2006MexvsIrn</t>
  </si>
  <si>
    <t>Iran</t>
  </si>
  <si>
    <t>2006AngvsPor</t>
  </si>
  <si>
    <t>Angola</t>
  </si>
  <si>
    <t>2006mexvsAng</t>
  </si>
  <si>
    <t>2006PorvsIrn</t>
  </si>
  <si>
    <t>2006PorvsMex</t>
  </si>
  <si>
    <t>2006IrnvsAng</t>
  </si>
  <si>
    <t>2006UnvsCze</t>
  </si>
  <si>
    <t>Czech</t>
  </si>
  <si>
    <t xml:space="preserve">Czech </t>
  </si>
  <si>
    <t>2006ItavsGha</t>
  </si>
  <si>
    <t>Ghana</t>
  </si>
  <si>
    <t>2006CzevsGha</t>
  </si>
  <si>
    <t>2006ItavsUs</t>
  </si>
  <si>
    <t>2006CzevsIta</t>
  </si>
  <si>
    <t>2006GhavsUs</t>
  </si>
  <si>
    <t>2006AusvsJap</t>
  </si>
  <si>
    <t>Australia</t>
  </si>
  <si>
    <t>2006BravsCro</t>
  </si>
  <si>
    <t>2006JapvsCro</t>
  </si>
  <si>
    <t>2006bravsAus</t>
  </si>
  <si>
    <t>2006JapvsBra</t>
  </si>
  <si>
    <t>2006CrvsAus</t>
  </si>
  <si>
    <t>2006SkvsTo</t>
  </si>
  <si>
    <t>Togo</t>
  </si>
  <si>
    <t>2006FravsSwi</t>
  </si>
  <si>
    <t>Switzerland</t>
  </si>
  <si>
    <t>2006FravsSk</t>
  </si>
  <si>
    <t>2006TovsSwi</t>
  </si>
  <si>
    <t>2006TovaFra</t>
  </si>
  <si>
    <t>2006SwivsSk</t>
  </si>
  <si>
    <t>2006SpavsUk</t>
  </si>
  <si>
    <t>Ukraine</t>
  </si>
  <si>
    <t>2006TunvsSa</t>
  </si>
  <si>
    <t>2006SAvsUk</t>
  </si>
  <si>
    <t>2006SpavsTun</t>
  </si>
  <si>
    <t>2006SAvspai</t>
  </si>
  <si>
    <t>2006UkvsTun</t>
  </si>
  <si>
    <t>2006GervsSWe</t>
  </si>
  <si>
    <t>2006ArgvsMex</t>
  </si>
  <si>
    <t>2006ItavsAus</t>
  </si>
  <si>
    <t>2006SwivsUK</t>
  </si>
  <si>
    <t>2006EngvsEcu</t>
  </si>
  <si>
    <t>2006PorvsNeth</t>
  </si>
  <si>
    <t>2006BravsGha</t>
  </si>
  <si>
    <t>2006SpavsFra</t>
  </si>
  <si>
    <t>2006GervsArg</t>
  </si>
  <si>
    <t>2006ItavsUk</t>
  </si>
  <si>
    <t>2006EngvsPor</t>
  </si>
  <si>
    <t>2006BravsFra</t>
  </si>
  <si>
    <t>2006GervsIta</t>
  </si>
  <si>
    <t>2006PorvsFra</t>
  </si>
  <si>
    <t>2006Final_ItavsFra</t>
  </si>
  <si>
    <t>2006GervsPor</t>
  </si>
  <si>
    <t>Team1_goalkeeper_rank</t>
  </si>
  <si>
    <t>Team2_goalkeeper_rank</t>
  </si>
  <si>
    <t>2010SFvsMex</t>
  </si>
  <si>
    <t>2010UrgvsFra</t>
  </si>
  <si>
    <t>2010SFvsUrg</t>
  </si>
  <si>
    <t>2010FravsMex</t>
  </si>
  <si>
    <t>2010MexvsUrg</t>
  </si>
  <si>
    <t>2010FravsSUF</t>
  </si>
  <si>
    <t>2010SKvsGree</t>
  </si>
  <si>
    <t>Greece</t>
  </si>
  <si>
    <t>2010ArgvsNidg</t>
  </si>
  <si>
    <t>2010ArgvsSK</t>
  </si>
  <si>
    <t>2010GreevsNig</t>
  </si>
  <si>
    <t>2010NigvsSK</t>
  </si>
  <si>
    <t>2010GreevsArg</t>
  </si>
  <si>
    <t>2010EngvsUs</t>
  </si>
  <si>
    <t>2010AlgvsSlov</t>
  </si>
  <si>
    <t>Algeria</t>
  </si>
  <si>
    <t>2010SlovsUs</t>
  </si>
  <si>
    <t>2010EngvsAlg</t>
  </si>
  <si>
    <t>2010SlovsEng</t>
  </si>
  <si>
    <t>2010USvsAlg</t>
  </si>
  <si>
    <t>2010ServsGha</t>
  </si>
  <si>
    <t>2010GervsAus</t>
  </si>
  <si>
    <t>2010GervsSer</t>
  </si>
  <si>
    <t>2010GhavsAus</t>
  </si>
  <si>
    <t>2010GhavsGer</t>
  </si>
  <si>
    <t>2010AusvsSer</t>
  </si>
  <si>
    <t>2010NethvsDen</t>
  </si>
  <si>
    <t>2010JapvsCam</t>
  </si>
  <si>
    <t>2010NethvsJap</t>
  </si>
  <si>
    <t>2010CamvsDen</t>
  </si>
  <si>
    <t>2010DenvsJap</t>
  </si>
  <si>
    <t>2010CamvsNeth</t>
  </si>
  <si>
    <t>2010ItavsPara</t>
  </si>
  <si>
    <t>2010NzvsSlo</t>
  </si>
  <si>
    <t>New Zealand</t>
  </si>
  <si>
    <t>Slovakia</t>
  </si>
  <si>
    <t>2010SlovsPara</t>
  </si>
  <si>
    <t>2010ItavsNz</t>
  </si>
  <si>
    <t>2010SlovsIta</t>
  </si>
  <si>
    <t>2010ParavsNw</t>
  </si>
  <si>
    <t>2010IvovsPor</t>
  </si>
  <si>
    <t>2010BravsNk</t>
  </si>
  <si>
    <t>North Korea</t>
  </si>
  <si>
    <t>2010BravsIvo</t>
  </si>
  <si>
    <t>2010PorvsNk</t>
  </si>
  <si>
    <t>2010PorvsBra</t>
  </si>
  <si>
    <t>2010NKvsLov</t>
  </si>
  <si>
    <t>2010HonvsChile</t>
  </si>
  <si>
    <t>Honduras</t>
  </si>
  <si>
    <t>Chile</t>
  </si>
  <si>
    <t>2010SpavsSwi</t>
  </si>
  <si>
    <t>2010ChivsSwi</t>
  </si>
  <si>
    <t>2010SpavsHon</t>
  </si>
  <si>
    <t>2010ChilvsSpa</t>
  </si>
  <si>
    <t>2010SwivsHon</t>
  </si>
  <si>
    <t>2010UrgvsSk</t>
  </si>
  <si>
    <t>2010UsvsGha</t>
  </si>
  <si>
    <t>2010NethvsSlo</t>
  </si>
  <si>
    <t>2010BravsChil</t>
  </si>
  <si>
    <t>2010ArgvsMex</t>
  </si>
  <si>
    <t>2010GervsEng</t>
  </si>
  <si>
    <t>2010ParavsJap</t>
  </si>
  <si>
    <t>2010SpavsPor</t>
  </si>
  <si>
    <t>2010UruvsGha</t>
  </si>
  <si>
    <t>2010NethvsBra</t>
  </si>
  <si>
    <t>2010ArgvsGer</t>
  </si>
  <si>
    <t>2010ParavsSpa</t>
  </si>
  <si>
    <t>2010UrgvsNeth</t>
  </si>
  <si>
    <t>2010GervsSpa</t>
  </si>
  <si>
    <t>2010_Final_NethvsSpa</t>
  </si>
  <si>
    <t>2010UruvsGer</t>
  </si>
  <si>
    <t>Colombia</t>
  </si>
  <si>
    <t>Bosnia</t>
  </si>
  <si>
    <t>2014BravsCro</t>
  </si>
  <si>
    <t>2014ChivsAus</t>
  </si>
  <si>
    <t>2014MexvsCam</t>
  </si>
  <si>
    <t>2014SpavsNeth</t>
  </si>
  <si>
    <t>2014Comvsgree</t>
  </si>
  <si>
    <t>2014EngvsIta</t>
  </si>
  <si>
    <t>2014IvovsJap</t>
  </si>
  <si>
    <t>2014UruvsCoRi</t>
  </si>
  <si>
    <t>2014ArgvsBos</t>
  </si>
  <si>
    <t>2014FravsHon</t>
  </si>
  <si>
    <t>2014SwivsEcu</t>
  </si>
  <si>
    <t>2014GervsPor</t>
  </si>
  <si>
    <t>2014GhavsUs</t>
  </si>
  <si>
    <t>2014IravsNig</t>
  </si>
  <si>
    <t>2014BelvsAlge</t>
  </si>
  <si>
    <t>2014BravsMex</t>
  </si>
  <si>
    <t>2014RusvsSK</t>
  </si>
  <si>
    <t>2014AusvsNeth</t>
  </si>
  <si>
    <t>2014CamvsCro</t>
  </si>
  <si>
    <t>2014SpavsChi</t>
  </si>
  <si>
    <t>2014ColovsIvo</t>
  </si>
  <si>
    <t>2014JapvsGreece</t>
  </si>
  <si>
    <t>2014UruvsEng</t>
  </si>
  <si>
    <t>2014HonvsEcu</t>
  </si>
  <si>
    <t>2014ItavsCoRi</t>
  </si>
  <si>
    <t>2014SwivsFra</t>
  </si>
  <si>
    <t>2014ArgvsIra</t>
  </si>
  <si>
    <t>2014GervsGha</t>
  </si>
  <si>
    <t>2014NigvsBos</t>
  </si>
  <si>
    <t>2014BelvsRus</t>
  </si>
  <si>
    <t>2014SkvsAlg</t>
  </si>
  <si>
    <t>2014UsvsPor</t>
  </si>
  <si>
    <t>2014AusvsSpa</t>
  </si>
  <si>
    <t>2014BravsCam</t>
  </si>
  <si>
    <t>2014CrovsMex</t>
  </si>
  <si>
    <t>2014NethvaChi</t>
  </si>
  <si>
    <t>2014CoRivsEng</t>
  </si>
  <si>
    <t>2014GrevsIo</t>
  </si>
  <si>
    <t>2014ItavsUrg</t>
  </si>
  <si>
    <t>2014JapvsCol</t>
  </si>
  <si>
    <t>2014BosvsIr</t>
  </si>
  <si>
    <t>2014EcuvsFra</t>
  </si>
  <si>
    <t>2014HonvsSwi</t>
  </si>
  <si>
    <t>2014NigvsArg</t>
  </si>
  <si>
    <t>2014AlgvsRuss</t>
  </si>
  <si>
    <t>2014SKvsBel</t>
  </si>
  <si>
    <t>2014PorvsGha</t>
  </si>
  <si>
    <t>2014UsvsGer</t>
  </si>
  <si>
    <t>2014BravsChi</t>
  </si>
  <si>
    <t>2014ColvsUrg</t>
  </si>
  <si>
    <t>2014CoRIivsGree</t>
  </si>
  <si>
    <t>2014NethvsMex</t>
  </si>
  <si>
    <t>2014FravsNig</t>
  </si>
  <si>
    <t>2014GervsAlg</t>
  </si>
  <si>
    <t>2014ArgvsSwi</t>
  </si>
  <si>
    <t>2014BelvsUs</t>
  </si>
  <si>
    <t>2014BravsCol</t>
  </si>
  <si>
    <t>2014FracsGer</t>
  </si>
  <si>
    <t>2014ArgvsBel</t>
  </si>
  <si>
    <t>2014NethvsCoRi</t>
  </si>
  <si>
    <t>2014BravsGer</t>
  </si>
  <si>
    <t>2014NethvsArg</t>
  </si>
  <si>
    <t>2014BravsNeth</t>
  </si>
  <si>
    <t>2014GervsArg</t>
  </si>
  <si>
    <t>Head_to_Head_Team1_result_precentage</t>
  </si>
  <si>
    <t>Saudi Arabia</t>
  </si>
  <si>
    <t>Egypt</t>
  </si>
  <si>
    <t>Morocco</t>
  </si>
  <si>
    <t>Iceland</t>
  </si>
  <si>
    <t>Peru</t>
  </si>
  <si>
    <t>Panama</t>
  </si>
  <si>
    <t>2018RussvsSA</t>
  </si>
  <si>
    <t>2018EgyvsUru</t>
  </si>
  <si>
    <t>2018MorovsIran</t>
  </si>
  <si>
    <t>2018PorvsSpa</t>
  </si>
  <si>
    <t>2018FravsAus</t>
  </si>
  <si>
    <t>2018ArgvsIce</t>
  </si>
  <si>
    <t>2018PervsDen</t>
  </si>
  <si>
    <t>2018CrovsNig</t>
  </si>
  <si>
    <t>2018CoRivsSer</t>
  </si>
  <si>
    <t>2018GervsMex</t>
  </si>
  <si>
    <t>2018BravsSwi</t>
  </si>
  <si>
    <t>2018SwevsSK</t>
  </si>
  <si>
    <t>2018BelvsPan</t>
  </si>
  <si>
    <t>2018TunvsEng</t>
  </si>
  <si>
    <t>2018ColvsJap</t>
  </si>
  <si>
    <t>2018PanvsSen</t>
  </si>
  <si>
    <t>2018RusvsEgy</t>
  </si>
  <si>
    <t>2018PorvsMoro</t>
  </si>
  <si>
    <t>2018UruvsSA</t>
  </si>
  <si>
    <t>2018IravsSpa</t>
  </si>
  <si>
    <t>2018DenvsAus</t>
  </si>
  <si>
    <t>2018FravsPer</t>
  </si>
  <si>
    <t>2018ArgvsCro</t>
  </si>
  <si>
    <t>2018BravsCoRi</t>
  </si>
  <si>
    <t>2018NigvsIce</t>
  </si>
  <si>
    <t>2018ServsSwi</t>
  </si>
  <si>
    <t>2018BelvsTun</t>
  </si>
  <si>
    <t>2018SKvsMex</t>
  </si>
  <si>
    <t>2018GervsSwe</t>
  </si>
  <si>
    <t>2018EngvsPan</t>
  </si>
  <si>
    <t>2018JapvsSen</t>
  </si>
  <si>
    <t>2018PolvsCol</t>
  </si>
  <si>
    <t>2018RusvsUru</t>
  </si>
  <si>
    <t>2018SAvsEgy</t>
  </si>
  <si>
    <t>2018SpavsMor</t>
  </si>
  <si>
    <t>2018IravsPor</t>
  </si>
  <si>
    <t>2018AusvsPer</t>
  </si>
  <si>
    <t>2018DenvsFra</t>
  </si>
  <si>
    <t>2018NigvsArg</t>
  </si>
  <si>
    <t>2018IcevsCro</t>
  </si>
  <si>
    <t>2018SKvsGer</t>
  </si>
  <si>
    <t>2018MexvsSwe</t>
  </si>
  <si>
    <t>2018ServsBra</t>
  </si>
  <si>
    <t>2018SwivsCoRi</t>
  </si>
  <si>
    <t>2018JapvsPol</t>
  </si>
  <si>
    <t>2018SenvsCol</t>
  </si>
  <si>
    <t>2018PanvsTus</t>
  </si>
  <si>
    <t>2018EngvsBel</t>
  </si>
  <si>
    <t>2018FravsArg</t>
  </si>
  <si>
    <t>2018UruvsPor</t>
  </si>
  <si>
    <t>2018RusvsSpa</t>
  </si>
  <si>
    <t>2018CrovsDen</t>
  </si>
  <si>
    <t>2018BravsMex</t>
  </si>
  <si>
    <t>2018BelvsJap</t>
  </si>
  <si>
    <t>2018SwevsSwi</t>
  </si>
  <si>
    <t>2018ColvsEng</t>
  </si>
  <si>
    <t>218UruvsFra</t>
  </si>
  <si>
    <t>2018BravsBel</t>
  </si>
  <si>
    <t>2018SwevsEng</t>
  </si>
  <si>
    <t>2018RusvsCro</t>
  </si>
  <si>
    <t>2018FravsBel</t>
  </si>
  <si>
    <t>2018CrovsEng</t>
  </si>
  <si>
    <t>2018BelvsEng</t>
  </si>
  <si>
    <t>2018_Final_FravsCro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</si>
</sst>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2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am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ams_Data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GK_Ran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GK_2006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nk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Top_100_Player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Teams"/>
    </sheetNames>
    <sheetDataSet>
      <sheetData sheetId="0">
        <row r="1">
          <cell r="A1" t="str">
            <v>Team</v>
          </cell>
          <cell r="B1" t="str">
            <v>Star_Players</v>
          </cell>
        </row>
        <row r="2">
          <cell r="A2" t="str">
            <v>Germany</v>
          </cell>
          <cell r="B2">
            <v>6</v>
          </cell>
        </row>
        <row r="3">
          <cell r="A3" t="str">
            <v>Brazil</v>
          </cell>
          <cell r="B3">
            <v>7</v>
          </cell>
        </row>
        <row r="4">
          <cell r="A4" t="str">
            <v>Belgium</v>
          </cell>
          <cell r="B4">
            <v>6</v>
          </cell>
        </row>
        <row r="5">
          <cell r="A5" t="str">
            <v>Portugal</v>
          </cell>
          <cell r="B5">
            <v>3</v>
          </cell>
        </row>
        <row r="6">
          <cell r="A6" t="str">
            <v>Argentina</v>
          </cell>
          <cell r="B6">
            <v>4</v>
          </cell>
        </row>
        <row r="7">
          <cell r="A7" t="str">
            <v>Switzerland</v>
          </cell>
          <cell r="B7">
            <v>2</v>
          </cell>
        </row>
        <row r="8">
          <cell r="A8" t="str">
            <v>France</v>
          </cell>
          <cell r="B8">
            <v>6</v>
          </cell>
        </row>
        <row r="9">
          <cell r="A9" t="str">
            <v>Poland</v>
          </cell>
          <cell r="B9">
            <v>2</v>
          </cell>
        </row>
        <row r="10">
          <cell r="A10" t="str">
            <v>Spain</v>
          </cell>
          <cell r="B10">
            <v>6</v>
          </cell>
        </row>
        <row r="11">
          <cell r="A11" t="str">
            <v>Peru</v>
          </cell>
          <cell r="B11">
            <v>1</v>
          </cell>
        </row>
        <row r="12">
          <cell r="A12" t="str">
            <v>Denmark</v>
          </cell>
          <cell r="B12">
            <v>2</v>
          </cell>
        </row>
        <row r="13">
          <cell r="A13" t="str">
            <v>England</v>
          </cell>
          <cell r="B13">
            <v>4</v>
          </cell>
        </row>
        <row r="14">
          <cell r="A14" t="str">
            <v>Uruguay</v>
          </cell>
          <cell r="B14">
            <v>3</v>
          </cell>
        </row>
        <row r="15">
          <cell r="A15" t="str">
            <v>Mexico</v>
          </cell>
          <cell r="B15">
            <v>2</v>
          </cell>
        </row>
        <row r="16">
          <cell r="A16" t="str">
            <v>Colombia</v>
          </cell>
          <cell r="B16">
            <v>3</v>
          </cell>
        </row>
        <row r="17">
          <cell r="A17" t="str">
            <v>Croatia</v>
          </cell>
          <cell r="B17">
            <v>4</v>
          </cell>
        </row>
        <row r="18">
          <cell r="A18" t="str">
            <v>Tunisia</v>
          </cell>
          <cell r="B18">
            <v>1</v>
          </cell>
        </row>
        <row r="19">
          <cell r="A19" t="str">
            <v>Iceland</v>
          </cell>
          <cell r="B19">
            <v>1</v>
          </cell>
        </row>
        <row r="20">
          <cell r="A20" t="str">
            <v>Costa Rica</v>
          </cell>
          <cell r="B20">
            <v>2</v>
          </cell>
        </row>
        <row r="21">
          <cell r="A21" t="str">
            <v>Sweden</v>
          </cell>
          <cell r="B21">
            <v>2</v>
          </cell>
        </row>
        <row r="22">
          <cell r="A22" t="str">
            <v>Senegal</v>
          </cell>
          <cell r="B22">
            <v>2</v>
          </cell>
        </row>
        <row r="23">
          <cell r="A23" t="str">
            <v>Serbia</v>
          </cell>
          <cell r="B23">
            <v>1</v>
          </cell>
        </row>
        <row r="24">
          <cell r="A24" t="str">
            <v>Australia</v>
          </cell>
          <cell r="B24">
            <v>1</v>
          </cell>
        </row>
        <row r="25">
          <cell r="A25" t="str">
            <v>Iran</v>
          </cell>
          <cell r="B25">
            <v>1</v>
          </cell>
        </row>
        <row r="26">
          <cell r="A26" t="str">
            <v>Morocco</v>
          </cell>
          <cell r="B26">
            <v>1</v>
          </cell>
        </row>
        <row r="27">
          <cell r="A27" t="str">
            <v>Egypt</v>
          </cell>
          <cell r="B27">
            <v>2</v>
          </cell>
        </row>
        <row r="28">
          <cell r="A28" t="str">
            <v>Nigeria</v>
          </cell>
          <cell r="B28">
            <v>2</v>
          </cell>
        </row>
        <row r="29">
          <cell r="A29" t="str">
            <v>Panama</v>
          </cell>
          <cell r="B29">
            <v>0</v>
          </cell>
        </row>
        <row r="30">
          <cell r="A30" t="str">
            <v>South Korea</v>
          </cell>
          <cell r="B30">
            <v>2</v>
          </cell>
        </row>
        <row r="31">
          <cell r="A31" t="str">
            <v>Japan</v>
          </cell>
          <cell r="B31">
            <v>1</v>
          </cell>
        </row>
        <row r="32">
          <cell r="A32" t="str">
            <v>Saudi Arabia</v>
          </cell>
          <cell r="B32">
            <v>0</v>
          </cell>
        </row>
        <row r="33">
          <cell r="A33" t="str">
            <v>Russia</v>
          </cell>
          <cell r="B33">
            <v>1</v>
          </cell>
        </row>
      </sheetData>
      <sheetData sheetId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Teams_Data"/>
    </sheetNames>
    <sheetDataSet>
      <sheetData sheetId="0" refreshError="1">
        <row r="1">
          <cell r="A1" t="str">
            <v>Team</v>
          </cell>
          <cell r="B1" t="str">
            <v>Star_Players</v>
          </cell>
          <cell r="C1" t="str">
            <v>Top_100_Players</v>
          </cell>
          <cell r="D1" t="str">
            <v>Top100_Players</v>
          </cell>
        </row>
        <row r="2">
          <cell r="A2" t="str">
            <v>Germany</v>
          </cell>
          <cell r="B2">
            <v>6</v>
          </cell>
          <cell r="C2">
            <v>9</v>
          </cell>
          <cell r="D2">
            <v>8</v>
          </cell>
        </row>
        <row r="3">
          <cell r="A3" t="str">
            <v>Brazil</v>
          </cell>
          <cell r="B3">
            <v>7</v>
          </cell>
          <cell r="C3">
            <v>10</v>
          </cell>
          <cell r="D3">
            <v>4</v>
          </cell>
        </row>
        <row r="4">
          <cell r="A4" t="str">
            <v>Belgium</v>
          </cell>
          <cell r="B4">
            <v>6</v>
          </cell>
          <cell r="C4">
            <v>8</v>
          </cell>
          <cell r="D4">
            <v>5</v>
          </cell>
        </row>
        <row r="5">
          <cell r="A5" t="str">
            <v>Portugal</v>
          </cell>
          <cell r="B5">
            <v>3</v>
          </cell>
          <cell r="C5">
            <v>4</v>
          </cell>
          <cell r="D5">
            <v>2</v>
          </cell>
        </row>
        <row r="6">
          <cell r="A6" t="str">
            <v>Argentina</v>
          </cell>
          <cell r="B6">
            <v>4</v>
          </cell>
          <cell r="C6">
            <v>5</v>
          </cell>
          <cell r="D6">
            <v>1</v>
          </cell>
        </row>
        <row r="7">
          <cell r="A7" t="str">
            <v>Switzerland</v>
          </cell>
          <cell r="B7">
            <v>2</v>
          </cell>
          <cell r="C7">
            <v>3</v>
          </cell>
          <cell r="D7">
            <v>5</v>
          </cell>
        </row>
        <row r="8">
          <cell r="A8" t="str">
            <v>France</v>
          </cell>
          <cell r="B8">
            <v>6</v>
          </cell>
          <cell r="C8">
            <v>8</v>
          </cell>
          <cell r="D8">
            <v>5</v>
          </cell>
        </row>
        <row r="9">
          <cell r="A9" t="str">
            <v>Poland</v>
          </cell>
          <cell r="B9">
            <v>2</v>
          </cell>
          <cell r="C9">
            <v>2</v>
          </cell>
          <cell r="D9">
            <v>6</v>
          </cell>
        </row>
        <row r="10">
          <cell r="A10" t="str">
            <v>Spain</v>
          </cell>
          <cell r="B10">
            <v>6</v>
          </cell>
          <cell r="C10">
            <v>9</v>
          </cell>
          <cell r="D10">
            <v>6</v>
          </cell>
        </row>
        <row r="11">
          <cell r="A11" t="str">
            <v>Peru</v>
          </cell>
          <cell r="B11">
            <v>1</v>
          </cell>
          <cell r="C11">
            <v>1</v>
          </cell>
          <cell r="D11">
            <v>5</v>
          </cell>
        </row>
        <row r="12">
          <cell r="A12" t="str">
            <v>Denmark</v>
          </cell>
          <cell r="B12">
            <v>2</v>
          </cell>
          <cell r="C12">
            <v>2</v>
          </cell>
          <cell r="D12">
            <v>6</v>
          </cell>
        </row>
        <row r="13">
          <cell r="A13" t="str">
            <v>England</v>
          </cell>
          <cell r="B13">
            <v>4</v>
          </cell>
          <cell r="C13">
            <v>6</v>
          </cell>
          <cell r="D13">
            <v>2</v>
          </cell>
        </row>
        <row r="14">
          <cell r="A14" t="str">
            <v>Uruguay</v>
          </cell>
          <cell r="B14">
            <v>3</v>
          </cell>
          <cell r="C14">
            <v>4</v>
          </cell>
          <cell r="D14">
            <v>1</v>
          </cell>
        </row>
        <row r="15">
          <cell r="A15" t="str">
            <v>Mexico</v>
          </cell>
          <cell r="B15">
            <v>2</v>
          </cell>
          <cell r="C15">
            <v>2</v>
          </cell>
          <cell r="D15">
            <v>5</v>
          </cell>
        </row>
        <row r="16">
          <cell r="A16" t="str">
            <v>Colombia</v>
          </cell>
          <cell r="B16">
            <v>3</v>
          </cell>
          <cell r="C16">
            <v>4</v>
          </cell>
          <cell r="D16">
            <v>0</v>
          </cell>
        </row>
        <row r="17">
          <cell r="A17" t="str">
            <v>Croatia</v>
          </cell>
          <cell r="B17">
            <v>4</v>
          </cell>
          <cell r="C17">
            <v>5</v>
          </cell>
          <cell r="D17">
            <v>0</v>
          </cell>
        </row>
        <row r="18">
          <cell r="A18" t="str">
            <v>Tunisia</v>
          </cell>
          <cell r="B18">
            <v>1</v>
          </cell>
          <cell r="C18">
            <v>0</v>
          </cell>
          <cell r="D18">
            <v>2</v>
          </cell>
        </row>
        <row r="19">
          <cell r="A19" t="str">
            <v>Iceland</v>
          </cell>
          <cell r="B19">
            <v>1</v>
          </cell>
          <cell r="C19">
            <v>0</v>
          </cell>
          <cell r="D19">
            <v>0</v>
          </cell>
        </row>
        <row r="20">
          <cell r="A20" t="str">
            <v>Costa Rica</v>
          </cell>
          <cell r="B20">
            <v>2</v>
          </cell>
          <cell r="C20">
            <v>2</v>
          </cell>
          <cell r="D20">
            <v>1</v>
          </cell>
        </row>
        <row r="21">
          <cell r="A21" t="str">
            <v>Sweden</v>
          </cell>
          <cell r="B21">
            <v>2</v>
          </cell>
          <cell r="C21">
            <v>2</v>
          </cell>
          <cell r="D21">
            <v>1</v>
          </cell>
        </row>
        <row r="22">
          <cell r="A22" t="str">
            <v>Senegal</v>
          </cell>
          <cell r="B22">
            <v>2</v>
          </cell>
          <cell r="C22">
            <v>2</v>
          </cell>
          <cell r="D22">
            <v>3</v>
          </cell>
        </row>
        <row r="23">
          <cell r="A23" t="str">
            <v>Serbia</v>
          </cell>
          <cell r="B23">
            <v>1</v>
          </cell>
          <cell r="C23">
            <v>1</v>
          </cell>
          <cell r="D23">
            <v>1</v>
          </cell>
        </row>
        <row r="24">
          <cell r="A24" t="str">
            <v>Australia</v>
          </cell>
          <cell r="B24">
            <v>1</v>
          </cell>
          <cell r="C24">
            <v>0</v>
          </cell>
          <cell r="D24">
            <v>0</v>
          </cell>
        </row>
        <row r="25">
          <cell r="A25" t="str">
            <v>Iran</v>
          </cell>
          <cell r="B25">
            <v>1</v>
          </cell>
          <cell r="C25">
            <v>0</v>
          </cell>
          <cell r="D25">
            <v>1</v>
          </cell>
        </row>
        <row r="26">
          <cell r="A26" t="str">
            <v>Morocco</v>
          </cell>
          <cell r="B26">
            <v>1</v>
          </cell>
          <cell r="C26">
            <v>1</v>
          </cell>
          <cell r="D26">
            <v>1</v>
          </cell>
        </row>
        <row r="27">
          <cell r="A27" t="str">
            <v>Egypt</v>
          </cell>
          <cell r="B27">
            <v>2</v>
          </cell>
          <cell r="C27">
            <v>2</v>
          </cell>
          <cell r="D27">
            <v>1</v>
          </cell>
        </row>
        <row r="28">
          <cell r="A28" t="str">
            <v>Nigeria</v>
          </cell>
          <cell r="B28">
            <v>2</v>
          </cell>
          <cell r="C28">
            <v>2</v>
          </cell>
          <cell r="D28">
            <v>1</v>
          </cell>
        </row>
        <row r="29">
          <cell r="A29" t="str">
            <v>Panama</v>
          </cell>
          <cell r="B29">
            <v>0</v>
          </cell>
          <cell r="C29">
            <v>0</v>
          </cell>
          <cell r="D29">
            <v>2</v>
          </cell>
        </row>
        <row r="30">
          <cell r="A30" t="str">
            <v>South Korea</v>
          </cell>
          <cell r="B30">
            <v>2</v>
          </cell>
          <cell r="C30">
            <v>2</v>
          </cell>
          <cell r="D30">
            <v>0</v>
          </cell>
        </row>
        <row r="31">
          <cell r="A31" t="str">
            <v>Japan</v>
          </cell>
          <cell r="B31">
            <v>1</v>
          </cell>
          <cell r="C31">
            <v>1</v>
          </cell>
          <cell r="D31">
            <v>2</v>
          </cell>
        </row>
        <row r="32">
          <cell r="A32" t="str">
            <v>Saudi Arabia</v>
          </cell>
          <cell r="B32">
            <v>0</v>
          </cell>
          <cell r="C32">
            <v>0</v>
          </cell>
          <cell r="D32">
            <v>0</v>
          </cell>
        </row>
        <row r="33">
          <cell r="A33" t="str">
            <v>Russia</v>
          </cell>
          <cell r="B33">
            <v>1</v>
          </cell>
          <cell r="C33">
            <v>1</v>
          </cell>
          <cell r="D33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GK_Rank"/>
    </sheetNames>
    <sheetDataSet>
      <sheetData sheetId="0">
        <row r="1">
          <cell r="A1" t="str">
            <v>Team</v>
          </cell>
          <cell r="B1" t="str">
            <v>GK_Rank</v>
          </cell>
        </row>
        <row r="2">
          <cell r="A2" t="str">
            <v>Germany</v>
          </cell>
          <cell r="B2">
            <v>1</v>
          </cell>
        </row>
        <row r="3">
          <cell r="A3" t="str">
            <v>Italy</v>
          </cell>
          <cell r="B3">
            <v>2</v>
          </cell>
        </row>
        <row r="4">
          <cell r="A4" t="str">
            <v>France</v>
          </cell>
          <cell r="B4">
            <v>3</v>
          </cell>
        </row>
        <row r="5">
          <cell r="A5" t="str">
            <v>England</v>
          </cell>
          <cell r="B5">
            <v>4</v>
          </cell>
        </row>
        <row r="6">
          <cell r="A6" t="str">
            <v>Brazil</v>
          </cell>
          <cell r="B6">
            <v>5</v>
          </cell>
        </row>
        <row r="7">
          <cell r="A7" t="str">
            <v>Spain</v>
          </cell>
          <cell r="B7">
            <v>6</v>
          </cell>
        </row>
        <row r="8">
          <cell r="A8" t="str">
            <v>Argentina</v>
          </cell>
          <cell r="B8">
            <v>7</v>
          </cell>
        </row>
        <row r="9">
          <cell r="A9" t="str">
            <v>Portugal</v>
          </cell>
          <cell r="B9">
            <v>8</v>
          </cell>
        </row>
        <row r="10">
          <cell r="A10" t="str">
            <v>Denmark</v>
          </cell>
          <cell r="B10">
            <v>9</v>
          </cell>
        </row>
        <row r="11">
          <cell r="A11" t="str">
            <v>Turkey</v>
          </cell>
          <cell r="B11">
            <v>10</v>
          </cell>
        </row>
        <row r="12">
          <cell r="A12" t="str">
            <v>Sweden</v>
          </cell>
          <cell r="B12">
            <v>11</v>
          </cell>
        </row>
        <row r="13">
          <cell r="A13" t="str">
            <v>Croatia</v>
          </cell>
          <cell r="B13">
            <v>12</v>
          </cell>
        </row>
        <row r="14">
          <cell r="A14" t="str">
            <v>Belgium</v>
          </cell>
          <cell r="B14">
            <v>13</v>
          </cell>
        </row>
        <row r="15">
          <cell r="A15" t="str">
            <v>Uruguay</v>
          </cell>
          <cell r="B15">
            <v>14</v>
          </cell>
        </row>
        <row r="16">
          <cell r="A16" t="str">
            <v>United States</v>
          </cell>
          <cell r="B16">
            <v>15</v>
          </cell>
        </row>
        <row r="17">
          <cell r="A17" t="str">
            <v>Nigeria</v>
          </cell>
          <cell r="B17">
            <v>16</v>
          </cell>
        </row>
        <row r="18">
          <cell r="A18" t="str">
            <v>Cameroon</v>
          </cell>
          <cell r="B18">
            <v>17</v>
          </cell>
        </row>
        <row r="19">
          <cell r="A19" t="str">
            <v>Mexico</v>
          </cell>
          <cell r="B19">
            <v>18</v>
          </cell>
        </row>
        <row r="20">
          <cell r="A20" t="str">
            <v>Senegal</v>
          </cell>
          <cell r="B20">
            <v>19</v>
          </cell>
        </row>
        <row r="21">
          <cell r="A21" t="str">
            <v>South Korea</v>
          </cell>
          <cell r="B21">
            <v>20</v>
          </cell>
        </row>
        <row r="22">
          <cell r="A22" t="str">
            <v>Japan</v>
          </cell>
          <cell r="B22">
            <v>21</v>
          </cell>
        </row>
        <row r="23">
          <cell r="A23" t="str">
            <v>Ireland</v>
          </cell>
          <cell r="B23">
            <v>22</v>
          </cell>
        </row>
        <row r="24">
          <cell r="A24" t="str">
            <v>Russia</v>
          </cell>
          <cell r="B24">
            <v>23</v>
          </cell>
        </row>
        <row r="25">
          <cell r="A25" t="str">
            <v>Paraguay</v>
          </cell>
          <cell r="B25">
            <v>24</v>
          </cell>
        </row>
        <row r="26">
          <cell r="A26" t="str">
            <v>Costa Rica</v>
          </cell>
          <cell r="B26">
            <v>25</v>
          </cell>
        </row>
        <row r="27">
          <cell r="A27" t="str">
            <v>Poland</v>
          </cell>
          <cell r="B27">
            <v>26</v>
          </cell>
        </row>
        <row r="28">
          <cell r="A28" t="str">
            <v>Tunisia</v>
          </cell>
          <cell r="B28">
            <v>27</v>
          </cell>
        </row>
        <row r="29">
          <cell r="A29" t="str">
            <v>Saudi Arabia</v>
          </cell>
          <cell r="B29">
            <v>28</v>
          </cell>
        </row>
        <row r="30">
          <cell r="A30" t="str">
            <v>Ecuador</v>
          </cell>
          <cell r="B30">
            <v>29</v>
          </cell>
        </row>
        <row r="31">
          <cell r="A31" t="str">
            <v>South Africa</v>
          </cell>
          <cell r="B31">
            <v>30</v>
          </cell>
        </row>
        <row r="32">
          <cell r="A32" t="str">
            <v>Slovenia</v>
          </cell>
          <cell r="B32">
            <v>31</v>
          </cell>
        </row>
        <row r="33">
          <cell r="A33" t="str">
            <v>China</v>
          </cell>
          <cell r="B33">
            <v>32</v>
          </cell>
        </row>
      </sheetData>
      <sheetData sheetId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GK_2006"/>
    </sheetNames>
    <sheetDataSet>
      <sheetData sheetId="0">
        <row r="1">
          <cell r="A1" t="str">
            <v>Team</v>
          </cell>
          <cell r="B1" t="str">
            <v>GK Rank</v>
          </cell>
        </row>
        <row r="2">
          <cell r="A2" t="str">
            <v>Germany</v>
          </cell>
          <cell r="B2">
            <v>2</v>
          </cell>
        </row>
        <row r="3">
          <cell r="A3" t="str">
            <v>Spain</v>
          </cell>
          <cell r="B3">
            <v>3</v>
          </cell>
        </row>
        <row r="4">
          <cell r="A4" t="str">
            <v>Belgium</v>
          </cell>
          <cell r="B4">
            <v>1</v>
          </cell>
        </row>
        <row r="5">
          <cell r="A5" t="str">
            <v>Brazil</v>
          </cell>
          <cell r="B5">
            <v>4</v>
          </cell>
        </row>
        <row r="6">
          <cell r="A6" t="str">
            <v>France</v>
          </cell>
          <cell r="B6">
            <v>5</v>
          </cell>
        </row>
        <row r="7">
          <cell r="A7" t="str">
            <v>Switzerland</v>
          </cell>
          <cell r="B7">
            <v>6</v>
          </cell>
        </row>
        <row r="8">
          <cell r="A8" t="str">
            <v>Argentina</v>
          </cell>
          <cell r="B8">
            <v>7</v>
          </cell>
        </row>
        <row r="9">
          <cell r="A9" t="str">
            <v>Portugal</v>
          </cell>
          <cell r="B9">
            <v>8</v>
          </cell>
        </row>
        <row r="10">
          <cell r="A10" t="str">
            <v>England</v>
          </cell>
          <cell r="B10">
            <v>9</v>
          </cell>
        </row>
        <row r="11">
          <cell r="A11" t="str">
            <v>Uruguay</v>
          </cell>
          <cell r="B11">
            <v>10</v>
          </cell>
        </row>
        <row r="12">
          <cell r="A12" t="str">
            <v>Costa Rica</v>
          </cell>
          <cell r="B12">
            <v>11</v>
          </cell>
        </row>
        <row r="13">
          <cell r="A13" t="str">
            <v>Poland</v>
          </cell>
          <cell r="B13">
            <v>12</v>
          </cell>
        </row>
        <row r="14">
          <cell r="A14" t="str">
            <v>Croatia</v>
          </cell>
          <cell r="B14">
            <v>13</v>
          </cell>
        </row>
        <row r="15">
          <cell r="A15" t="str">
            <v>Mexico</v>
          </cell>
          <cell r="B15">
            <v>14</v>
          </cell>
        </row>
        <row r="16">
          <cell r="A16" t="str">
            <v>Sweden</v>
          </cell>
          <cell r="B16">
            <v>15</v>
          </cell>
        </row>
        <row r="17">
          <cell r="A17" t="str">
            <v>Colombia</v>
          </cell>
          <cell r="B17">
            <v>16</v>
          </cell>
        </row>
        <row r="18">
          <cell r="A18" t="str">
            <v>Senegal</v>
          </cell>
          <cell r="B18">
            <v>17</v>
          </cell>
        </row>
        <row r="19">
          <cell r="A19" t="str">
            <v>Denmark</v>
          </cell>
          <cell r="B19">
            <v>18</v>
          </cell>
        </row>
        <row r="20">
          <cell r="A20" t="str">
            <v>Russia</v>
          </cell>
          <cell r="B20">
            <v>19</v>
          </cell>
        </row>
        <row r="21">
          <cell r="A21" t="str">
            <v>Egypt</v>
          </cell>
          <cell r="B21">
            <v>20</v>
          </cell>
        </row>
        <row r="22">
          <cell r="A22" t="str">
            <v>Nigeria</v>
          </cell>
          <cell r="B22">
            <v>21</v>
          </cell>
        </row>
        <row r="23">
          <cell r="A23" t="str">
            <v>Morocco</v>
          </cell>
          <cell r="B23">
            <v>22</v>
          </cell>
        </row>
        <row r="24">
          <cell r="A24" t="str">
            <v>Peru</v>
          </cell>
          <cell r="B24">
            <v>23</v>
          </cell>
        </row>
        <row r="25">
          <cell r="A25" t="str">
            <v>Japan</v>
          </cell>
          <cell r="B25">
            <v>24</v>
          </cell>
        </row>
        <row r="26">
          <cell r="A26" t="str">
            <v>South Korea</v>
          </cell>
          <cell r="B26">
            <v>25</v>
          </cell>
        </row>
        <row r="27">
          <cell r="A27" t="str">
            <v>Iran</v>
          </cell>
          <cell r="B27">
            <v>26</v>
          </cell>
        </row>
        <row r="28">
          <cell r="A28" t="str">
            <v>Serbia</v>
          </cell>
          <cell r="B28">
            <v>27</v>
          </cell>
        </row>
        <row r="29">
          <cell r="A29" t="str">
            <v>Tunisia</v>
          </cell>
          <cell r="B29">
            <v>28</v>
          </cell>
        </row>
        <row r="30">
          <cell r="A30" t="str">
            <v>Australia</v>
          </cell>
          <cell r="B30">
            <v>29</v>
          </cell>
        </row>
        <row r="31">
          <cell r="A31" t="str">
            <v>Iceland</v>
          </cell>
          <cell r="B31">
            <v>30</v>
          </cell>
        </row>
        <row r="32">
          <cell r="A32" t="str">
            <v>Saudi Arabia</v>
          </cell>
          <cell r="B32">
            <v>31</v>
          </cell>
        </row>
        <row r="33">
          <cell r="A33" t="str">
            <v>Panama</v>
          </cell>
          <cell r="B33">
            <v>32</v>
          </cell>
        </row>
        <row r="34">
          <cell r="A34">
            <v>0</v>
          </cell>
          <cell r="B34">
            <v>8</v>
          </cell>
        </row>
      </sheetData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Team</v>
          </cell>
          <cell r="B1" t="str">
            <v>GK Rank</v>
          </cell>
        </row>
        <row r="2">
          <cell r="A2" t="str">
            <v>Germany</v>
          </cell>
          <cell r="B2">
            <v>2</v>
          </cell>
        </row>
        <row r="3">
          <cell r="A3" t="str">
            <v>Spain</v>
          </cell>
          <cell r="B3">
            <v>3</v>
          </cell>
        </row>
        <row r="4">
          <cell r="A4" t="str">
            <v>Belgium</v>
          </cell>
          <cell r="B4">
            <v>1</v>
          </cell>
        </row>
        <row r="5">
          <cell r="A5" t="str">
            <v>Brazil</v>
          </cell>
          <cell r="B5">
            <v>4</v>
          </cell>
        </row>
        <row r="6">
          <cell r="A6" t="str">
            <v>France</v>
          </cell>
          <cell r="B6">
            <v>5</v>
          </cell>
        </row>
        <row r="7">
          <cell r="A7" t="str">
            <v>Switzerland</v>
          </cell>
          <cell r="B7">
            <v>6</v>
          </cell>
        </row>
        <row r="8">
          <cell r="A8" t="str">
            <v>Argentina</v>
          </cell>
          <cell r="B8">
            <v>7</v>
          </cell>
        </row>
        <row r="9">
          <cell r="A9" t="str">
            <v>Portugal</v>
          </cell>
          <cell r="B9">
            <v>8</v>
          </cell>
        </row>
        <row r="10">
          <cell r="A10" t="str">
            <v>England</v>
          </cell>
          <cell r="B10">
            <v>9</v>
          </cell>
        </row>
        <row r="11">
          <cell r="A11" t="str">
            <v>Uruguay</v>
          </cell>
          <cell r="B11">
            <v>10</v>
          </cell>
        </row>
        <row r="12">
          <cell r="A12" t="str">
            <v>Costa Rica</v>
          </cell>
          <cell r="B12">
            <v>11</v>
          </cell>
        </row>
        <row r="13">
          <cell r="A13" t="str">
            <v>Poland</v>
          </cell>
          <cell r="B13">
            <v>12</v>
          </cell>
        </row>
        <row r="14">
          <cell r="A14" t="str">
            <v>Croatia</v>
          </cell>
          <cell r="B14">
            <v>13</v>
          </cell>
        </row>
        <row r="15">
          <cell r="A15" t="str">
            <v>Mexico</v>
          </cell>
          <cell r="B15">
            <v>14</v>
          </cell>
        </row>
        <row r="16">
          <cell r="A16" t="str">
            <v>Sweden</v>
          </cell>
          <cell r="B16">
            <v>15</v>
          </cell>
        </row>
        <row r="17">
          <cell r="A17" t="str">
            <v>Colombia</v>
          </cell>
          <cell r="B17">
            <v>16</v>
          </cell>
        </row>
        <row r="18">
          <cell r="A18" t="str">
            <v>Senegal</v>
          </cell>
          <cell r="B18">
            <v>17</v>
          </cell>
        </row>
        <row r="19">
          <cell r="A19" t="str">
            <v>Denmark</v>
          </cell>
          <cell r="B19">
            <v>18</v>
          </cell>
        </row>
        <row r="20">
          <cell r="A20" t="str">
            <v>Russia</v>
          </cell>
          <cell r="B20">
            <v>19</v>
          </cell>
        </row>
        <row r="21">
          <cell r="A21" t="str">
            <v>Egypt</v>
          </cell>
          <cell r="B21">
            <v>20</v>
          </cell>
        </row>
        <row r="22">
          <cell r="A22" t="str">
            <v>Nigeria</v>
          </cell>
          <cell r="B22">
            <v>21</v>
          </cell>
        </row>
        <row r="23">
          <cell r="A23" t="str">
            <v>Morocco</v>
          </cell>
          <cell r="B23">
            <v>22</v>
          </cell>
        </row>
        <row r="24">
          <cell r="A24" t="str">
            <v>Peru</v>
          </cell>
          <cell r="B24">
            <v>23</v>
          </cell>
        </row>
        <row r="25">
          <cell r="A25" t="str">
            <v>Japan</v>
          </cell>
          <cell r="B25">
            <v>24</v>
          </cell>
        </row>
        <row r="26">
          <cell r="A26" t="str">
            <v>South Korea</v>
          </cell>
          <cell r="B26">
            <v>25</v>
          </cell>
        </row>
        <row r="27">
          <cell r="A27" t="str">
            <v>Iran</v>
          </cell>
          <cell r="B27">
            <v>26</v>
          </cell>
        </row>
        <row r="28">
          <cell r="A28" t="str">
            <v>Serbia</v>
          </cell>
          <cell r="B28">
            <v>27</v>
          </cell>
        </row>
        <row r="29">
          <cell r="A29" t="str">
            <v>Tunisia</v>
          </cell>
          <cell r="B29">
            <v>28</v>
          </cell>
        </row>
        <row r="30">
          <cell r="A30" t="str">
            <v>Australia</v>
          </cell>
          <cell r="B30">
            <v>29</v>
          </cell>
        </row>
        <row r="31">
          <cell r="A31" t="str">
            <v>Iceland</v>
          </cell>
          <cell r="B31">
            <v>30</v>
          </cell>
        </row>
        <row r="32">
          <cell r="A32" t="str">
            <v>Saudi Arabia</v>
          </cell>
          <cell r="B32">
            <v>31</v>
          </cell>
        </row>
        <row r="33">
          <cell r="A33" t="str">
            <v>Panama</v>
          </cell>
          <cell r="B33">
            <v>32</v>
          </cell>
        </row>
      </sheetData>
      <sheetData sheetId="1"/>
      <sheetData sheetId="2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">
          <cell r="A1" t="str">
            <v>Team</v>
          </cell>
          <cell r="B1" t="str">
            <v>Star_Players</v>
          </cell>
          <cell r="C1" t="str">
            <v>Top_100_Players</v>
          </cell>
        </row>
        <row r="2">
          <cell r="A2" t="str">
            <v>Germany</v>
          </cell>
          <cell r="B2">
            <v>6</v>
          </cell>
          <cell r="C2">
            <v>9</v>
          </cell>
        </row>
        <row r="3">
          <cell r="A3" t="str">
            <v>Brazil</v>
          </cell>
          <cell r="B3">
            <v>7</v>
          </cell>
          <cell r="C3">
            <v>10</v>
          </cell>
        </row>
        <row r="4">
          <cell r="A4" t="str">
            <v>Belgium</v>
          </cell>
          <cell r="B4">
            <v>6</v>
          </cell>
          <cell r="C4">
            <v>8</v>
          </cell>
        </row>
        <row r="5">
          <cell r="A5" t="str">
            <v>Portugal</v>
          </cell>
          <cell r="B5">
            <v>3</v>
          </cell>
          <cell r="C5">
            <v>4</v>
          </cell>
        </row>
        <row r="6">
          <cell r="A6" t="str">
            <v>Argentina</v>
          </cell>
          <cell r="B6">
            <v>4</v>
          </cell>
          <cell r="C6">
            <v>5</v>
          </cell>
        </row>
        <row r="7">
          <cell r="A7" t="str">
            <v>Switzerland</v>
          </cell>
          <cell r="B7">
            <v>2</v>
          </cell>
          <cell r="C7">
            <v>3</v>
          </cell>
        </row>
        <row r="8">
          <cell r="A8" t="str">
            <v>France</v>
          </cell>
          <cell r="B8">
            <v>6</v>
          </cell>
          <cell r="C8">
            <v>8</v>
          </cell>
        </row>
        <row r="9">
          <cell r="A9" t="str">
            <v>Poland</v>
          </cell>
          <cell r="B9">
            <v>2</v>
          </cell>
          <cell r="C9">
            <v>2</v>
          </cell>
        </row>
        <row r="10">
          <cell r="A10" t="str">
            <v>Spain</v>
          </cell>
          <cell r="B10">
            <v>6</v>
          </cell>
          <cell r="C10">
            <v>9</v>
          </cell>
        </row>
        <row r="11">
          <cell r="A11" t="str">
            <v>Peru</v>
          </cell>
          <cell r="B11">
            <v>1</v>
          </cell>
          <cell r="C11">
            <v>1</v>
          </cell>
        </row>
        <row r="12">
          <cell r="A12" t="str">
            <v>Denmark</v>
          </cell>
          <cell r="B12">
            <v>2</v>
          </cell>
          <cell r="C12">
            <v>2</v>
          </cell>
        </row>
        <row r="13">
          <cell r="A13" t="str">
            <v>England</v>
          </cell>
          <cell r="B13">
            <v>4</v>
          </cell>
          <cell r="C13">
            <v>6</v>
          </cell>
        </row>
        <row r="14">
          <cell r="A14" t="str">
            <v>Uruguay</v>
          </cell>
          <cell r="B14">
            <v>3</v>
          </cell>
          <cell r="C14">
            <v>4</v>
          </cell>
        </row>
        <row r="15">
          <cell r="A15" t="str">
            <v>Mexico</v>
          </cell>
          <cell r="B15">
            <v>2</v>
          </cell>
          <cell r="C15">
            <v>2</v>
          </cell>
        </row>
        <row r="16">
          <cell r="A16" t="str">
            <v>Colombia</v>
          </cell>
          <cell r="B16">
            <v>3</v>
          </cell>
          <cell r="C16">
            <v>4</v>
          </cell>
        </row>
        <row r="17">
          <cell r="A17" t="str">
            <v>Croatia</v>
          </cell>
          <cell r="B17">
            <v>4</v>
          </cell>
          <cell r="C17">
            <v>5</v>
          </cell>
        </row>
        <row r="18">
          <cell r="A18" t="str">
            <v>Tunisia</v>
          </cell>
          <cell r="B18">
            <v>1</v>
          </cell>
          <cell r="C18">
            <v>0</v>
          </cell>
        </row>
        <row r="19">
          <cell r="A19" t="str">
            <v>Iceland</v>
          </cell>
          <cell r="B19">
            <v>1</v>
          </cell>
          <cell r="C19">
            <v>0</v>
          </cell>
        </row>
        <row r="20">
          <cell r="A20" t="str">
            <v>Costa Rica</v>
          </cell>
          <cell r="B20">
            <v>2</v>
          </cell>
          <cell r="C20">
            <v>2</v>
          </cell>
        </row>
        <row r="21">
          <cell r="A21" t="str">
            <v>Sweden</v>
          </cell>
          <cell r="B21">
            <v>2</v>
          </cell>
          <cell r="C21">
            <v>2</v>
          </cell>
        </row>
        <row r="22">
          <cell r="A22" t="str">
            <v>Senegal</v>
          </cell>
          <cell r="B22">
            <v>2</v>
          </cell>
          <cell r="C22">
            <v>2</v>
          </cell>
        </row>
        <row r="23">
          <cell r="A23" t="str">
            <v>Serbia</v>
          </cell>
          <cell r="B23">
            <v>1</v>
          </cell>
          <cell r="C23">
            <v>1</v>
          </cell>
        </row>
        <row r="24">
          <cell r="A24" t="str">
            <v>Australia</v>
          </cell>
          <cell r="B24">
            <v>1</v>
          </cell>
          <cell r="C24">
            <v>0</v>
          </cell>
        </row>
        <row r="25">
          <cell r="A25" t="str">
            <v>Iran</v>
          </cell>
          <cell r="B25">
            <v>1</v>
          </cell>
          <cell r="C25">
            <v>0</v>
          </cell>
        </row>
        <row r="26">
          <cell r="A26" t="str">
            <v>Morocco</v>
          </cell>
          <cell r="B26">
            <v>1</v>
          </cell>
          <cell r="C26">
            <v>1</v>
          </cell>
        </row>
        <row r="27">
          <cell r="A27" t="str">
            <v>Egypt</v>
          </cell>
          <cell r="B27">
            <v>2</v>
          </cell>
          <cell r="C27">
            <v>2</v>
          </cell>
        </row>
        <row r="28">
          <cell r="A28" t="str">
            <v>Nigeria</v>
          </cell>
          <cell r="B28">
            <v>2</v>
          </cell>
          <cell r="C28">
            <v>2</v>
          </cell>
        </row>
        <row r="29">
          <cell r="A29" t="str">
            <v>Panama</v>
          </cell>
          <cell r="B29">
            <v>0</v>
          </cell>
          <cell r="C29">
            <v>0</v>
          </cell>
        </row>
        <row r="30">
          <cell r="A30" t="str">
            <v>South Korea</v>
          </cell>
          <cell r="B30">
            <v>2</v>
          </cell>
          <cell r="C30">
            <v>2</v>
          </cell>
        </row>
        <row r="31">
          <cell r="A31" t="str">
            <v>Japan</v>
          </cell>
          <cell r="B31">
            <v>1</v>
          </cell>
          <cell r="C31">
            <v>1</v>
          </cell>
        </row>
        <row r="32">
          <cell r="A32" t="str">
            <v>Saudi Arabia</v>
          </cell>
          <cell r="B32">
            <v>0</v>
          </cell>
          <cell r="C32">
            <v>0</v>
          </cell>
        </row>
        <row r="33">
          <cell r="A33" t="str">
            <v>Russia</v>
          </cell>
          <cell r="B33">
            <v>1</v>
          </cell>
          <cell r="C33">
            <v>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07"/>
  <sheetViews>
    <sheetView tabSelected="1" topLeftCell="A313" zoomScale="85" zoomScaleNormal="85" workbookViewId="0">
      <selection activeCell="A321" sqref="A321"/>
    </sheetView>
  </sheetViews>
  <sheetFormatPr defaultRowHeight="14.4"/>
  <cols>
    <col min="1" max="1" width="16.5546875" customWidth="1"/>
    <col min="2" max="2" width="17.33203125" customWidth="1"/>
    <col min="3" max="3" width="15.5546875" customWidth="1"/>
    <col min="4" max="4" width="7.33203125" customWidth="1"/>
    <col min="5" max="5" width="10.33203125" customWidth="1"/>
    <col min="6" max="6" width="17.77734375" customWidth="1"/>
    <col min="7" max="7" width="18.21875" customWidth="1"/>
    <col min="8" max="8" width="25" customWidth="1"/>
    <col min="9" max="9" width="16.21875" customWidth="1"/>
    <col min="10" max="10" width="10.44140625" customWidth="1"/>
    <col min="11" max="11" width="15.5546875" customWidth="1"/>
    <col min="12" max="12" width="9.6640625" customWidth="1"/>
    <col min="13" max="13" width="11.77734375" customWidth="1"/>
    <col min="14" max="27" width="24.109375" customWidth="1"/>
  </cols>
  <sheetData>
    <row r="1" spans="1:15" ht="26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</v>
      </c>
      <c r="K1" s="1" t="s">
        <v>6</v>
      </c>
      <c r="L1" s="1" t="s">
        <v>322</v>
      </c>
      <c r="M1" s="1" t="s">
        <v>7</v>
      </c>
      <c r="N1" s="1" t="s">
        <v>183</v>
      </c>
      <c r="O1" s="1" t="s">
        <v>184</v>
      </c>
    </row>
    <row r="2" spans="1:15" ht="22.2" customHeight="1">
      <c r="A2" t="s">
        <v>8</v>
      </c>
      <c r="B2" t="s">
        <v>9</v>
      </c>
      <c r="C2" t="s">
        <v>10</v>
      </c>
      <c r="D2">
        <f>VLOOKUP(B2, [1]Sheet1!A:B, 2, FALSE)</f>
        <v>1</v>
      </c>
      <c r="E2">
        <f>VLOOKUP(C2, [1]Sheet1!A:B, 2, FALSE)</f>
        <v>42</v>
      </c>
      <c r="F2">
        <f>IFERROR(VLOOKUP(B2, [2]Sheet1!A:C, 2, FALSE), 0)</f>
        <v>1</v>
      </c>
      <c r="G2">
        <f>IFERROR(VLOOKUP(B2, [2]Sheet1!A:C, 3, FALSE), 0)</f>
        <v>6</v>
      </c>
      <c r="H2">
        <f>IFERROR(VLOOKUP(C2, [2]Sheet1!A:C, 2, FALSE), 0)</f>
        <v>0</v>
      </c>
      <c r="I2">
        <f>IFERROR(VLOOKUP(C2, [2]Sheet1!A:C, 3, FALSE), 0)</f>
        <v>2</v>
      </c>
      <c r="M2">
        <v>-1</v>
      </c>
      <c r="N2">
        <f>IFERROR(VLOOKUP(B2, [3]Sheet1!A:B, 2, FALSE), "")</f>
        <v>3</v>
      </c>
      <c r="O2">
        <f>IFERROR(VLOOKUP(C2, [3]Sheet1!A:B, 2, FALSE), "")</f>
        <v>19</v>
      </c>
    </row>
    <row r="3" spans="1:15" ht="22.2" customHeight="1">
      <c r="A3" t="s">
        <v>15</v>
      </c>
      <c r="B3" t="s">
        <v>11</v>
      </c>
      <c r="C3" t="s">
        <v>12</v>
      </c>
      <c r="D3">
        <f>VLOOKUP(B3, [1]Sheet1!A:B, 2, FALSE)</f>
        <v>24</v>
      </c>
      <c r="E3">
        <f>VLOOKUP(C3, [1]Sheet1!A:B, 2, FALSE)</f>
        <v>20</v>
      </c>
      <c r="F3">
        <f>IFERROR(VLOOKUP(B3, [2]Sheet1!A:C, 2, FALSE), 0)</f>
        <v>0</v>
      </c>
      <c r="G3">
        <f>IFERROR(VLOOKUP(B3, [2]Sheet1!A:C, 3, FALSE), 0)</f>
        <v>1</v>
      </c>
      <c r="H3">
        <f>IFERROR(VLOOKUP(C3, [2]Sheet1!A:C, 2, FALSE), 0)</f>
        <v>0</v>
      </c>
      <c r="I3">
        <f>IFERROR(VLOOKUP(C3, [2]Sheet1!A:C, 3, FALSE), 0)</f>
        <v>2</v>
      </c>
      <c r="M3">
        <v>-1</v>
      </c>
      <c r="N3">
        <f>IFERROR(VLOOKUP(B3, [3]Sheet1!A:B, 2, FALSE), "")</f>
        <v>14</v>
      </c>
      <c r="O3">
        <f>IFERROR(VLOOKUP(C3, [3]Sheet1!A:B, 2, FALSE), "")</f>
        <v>9</v>
      </c>
    </row>
    <row r="4" spans="1:15" ht="22.2" customHeight="1">
      <c r="A4" t="s">
        <v>14</v>
      </c>
      <c r="B4" t="s">
        <v>12</v>
      </c>
      <c r="C4" t="s">
        <v>10</v>
      </c>
      <c r="D4">
        <f>VLOOKUP(B4, [1]Sheet1!A:B, 2, FALSE)</f>
        <v>20</v>
      </c>
      <c r="E4">
        <f>VLOOKUP(C4, [1]Sheet1!A:B, 2, FALSE)</f>
        <v>42</v>
      </c>
      <c r="F4">
        <f>IFERROR(VLOOKUP(B4, [2]Sheet1!A:C, 2, FALSE), 0)</f>
        <v>0</v>
      </c>
      <c r="G4">
        <f>IFERROR(VLOOKUP(B4, [2]Sheet1!A:C, 3, FALSE), 0)</f>
        <v>2</v>
      </c>
      <c r="H4">
        <f>IFERROR(VLOOKUP(C4, [2]Sheet1!A:C, 2, FALSE), 0)</f>
        <v>0</v>
      </c>
      <c r="I4">
        <f>IFERROR(VLOOKUP(C4, [2]Sheet1!A:C, 3, FALSE), 0)</f>
        <v>2</v>
      </c>
      <c r="M4">
        <v>0</v>
      </c>
      <c r="N4">
        <f>IFERROR(VLOOKUP(B4, [3]Sheet1!A:B, 2, FALSE), "")</f>
        <v>9</v>
      </c>
      <c r="O4">
        <f>IFERROR(VLOOKUP(C4, [3]Sheet1!A:B, 2, FALSE), "")</f>
        <v>19</v>
      </c>
    </row>
    <row r="5" spans="1:15" ht="22.2" customHeight="1">
      <c r="A5" t="s">
        <v>13</v>
      </c>
      <c r="B5" t="s">
        <v>9</v>
      </c>
      <c r="C5" t="s">
        <v>11</v>
      </c>
      <c r="D5">
        <f>VLOOKUP(B5, [1]Sheet1!A:B, 2, FALSE)</f>
        <v>1</v>
      </c>
      <c r="E5">
        <f>VLOOKUP(C5, [1]Sheet1!A:B, 2, FALSE)</f>
        <v>24</v>
      </c>
      <c r="F5">
        <f>IFERROR(VLOOKUP(B5, [2]Sheet1!A:C, 2, FALSE), 0)</f>
        <v>1</v>
      </c>
      <c r="G5">
        <f>IFERROR(VLOOKUP(B5, [2]Sheet1!A:C, 3, FALSE), 0)</f>
        <v>6</v>
      </c>
      <c r="H5">
        <f>IFERROR(VLOOKUP(C5, [2]Sheet1!A:C, 2, FALSE), 0)</f>
        <v>0</v>
      </c>
      <c r="I5">
        <f>IFERROR(VLOOKUP(C5, [2]Sheet1!A:C, 3, FALSE), 0)</f>
        <v>1</v>
      </c>
      <c r="M5">
        <v>0</v>
      </c>
      <c r="N5">
        <f>IFERROR(VLOOKUP(B5, [3]Sheet1!A:B, 2, FALSE), "")</f>
        <v>3</v>
      </c>
      <c r="O5">
        <f>IFERROR(VLOOKUP(C5, [3]Sheet1!A:B, 2, FALSE), "")</f>
        <v>14</v>
      </c>
    </row>
    <row r="6" spans="1:15" ht="22.2" customHeight="1">
      <c r="A6" t="s">
        <v>16</v>
      </c>
      <c r="B6" t="s">
        <v>12</v>
      </c>
      <c r="C6" t="s">
        <v>9</v>
      </c>
      <c r="D6">
        <f>VLOOKUP(B6, [1]Sheet1!A:B, 2, FALSE)</f>
        <v>20</v>
      </c>
      <c r="E6">
        <f>VLOOKUP(C6, [1]Sheet1!A:B, 2, FALSE)</f>
        <v>1</v>
      </c>
      <c r="F6">
        <f>IFERROR(VLOOKUP(B6, [2]Sheet1!A:C, 2, FALSE), 0)</f>
        <v>0</v>
      </c>
      <c r="G6">
        <f>IFERROR(VLOOKUP(B6, [2]Sheet1!A:C, 3, FALSE), 0)</f>
        <v>2</v>
      </c>
      <c r="H6">
        <f>IFERROR(VLOOKUP(C6, [2]Sheet1!A:C, 2, FALSE), 0)</f>
        <v>1</v>
      </c>
      <c r="I6">
        <f>IFERROR(VLOOKUP(C6, [2]Sheet1!A:C, 3, FALSE), 0)</f>
        <v>6</v>
      </c>
      <c r="M6">
        <v>1</v>
      </c>
      <c r="N6">
        <f>IFERROR(VLOOKUP(B6, [3]Sheet1!A:B, 2, FALSE), "")</f>
        <v>9</v>
      </c>
      <c r="O6">
        <f>IFERROR(VLOOKUP(C6, [3]Sheet1!A:B, 2, FALSE), "")</f>
        <v>3</v>
      </c>
    </row>
    <row r="7" spans="1:15" ht="22.2" customHeight="1">
      <c r="A7" t="s">
        <v>17</v>
      </c>
      <c r="B7" t="s">
        <v>10</v>
      </c>
      <c r="C7" t="s">
        <v>11</v>
      </c>
      <c r="D7">
        <f>VLOOKUP(B7, [1]Sheet1!A:B, 2, FALSE)</f>
        <v>42</v>
      </c>
      <c r="E7">
        <f>VLOOKUP(C7, [1]Sheet1!A:B, 2, FALSE)</f>
        <v>24</v>
      </c>
      <c r="F7">
        <f>IFERROR(VLOOKUP(B7, [2]Sheet1!A:C, 2, FALSE), 0)</f>
        <v>0</v>
      </c>
      <c r="G7">
        <f>IFERROR(VLOOKUP(B7, [2]Sheet1!A:C, 3, FALSE), 0)</f>
        <v>2</v>
      </c>
      <c r="H7">
        <f>IFERROR(VLOOKUP(C7, [2]Sheet1!A:C, 2, FALSE), 0)</f>
        <v>0</v>
      </c>
      <c r="I7">
        <f>IFERROR(VLOOKUP(C7, [2]Sheet1!A:C, 3, FALSE), 0)</f>
        <v>1</v>
      </c>
      <c r="M7">
        <v>0</v>
      </c>
      <c r="N7">
        <f>IFERROR(VLOOKUP(B7, [3]Sheet1!A:B, 2, FALSE), "")</f>
        <v>19</v>
      </c>
      <c r="O7">
        <f>IFERROR(VLOOKUP(C7, [3]Sheet1!A:B, 2, FALSE), "")</f>
        <v>14</v>
      </c>
    </row>
    <row r="8" spans="1:15" ht="22.2" customHeight="1">
      <c r="A8" t="s">
        <v>18</v>
      </c>
      <c r="B8" t="s">
        <v>19</v>
      </c>
      <c r="C8" t="s">
        <v>20</v>
      </c>
      <c r="D8">
        <f>VLOOKUP(B8, [1]Sheet1!A:B, 2, FALSE)</f>
        <v>18</v>
      </c>
      <c r="E8">
        <f>VLOOKUP(C8, [1]Sheet1!A:B, 2, FALSE)</f>
        <v>37</v>
      </c>
      <c r="F8">
        <f>IFERROR(VLOOKUP(B8, [2]Sheet1!A:C, 2, FALSE), 0)</f>
        <v>0</v>
      </c>
      <c r="G8">
        <f>IFERROR(VLOOKUP(B8, [2]Sheet1!A:C, 3, FALSE), 0)</f>
        <v>0</v>
      </c>
      <c r="H8">
        <f>IFERROR(VLOOKUP(C8, [2]Sheet1!A:C, 2, FALSE), 0)</f>
        <v>0</v>
      </c>
      <c r="I8">
        <f>IFERROR(VLOOKUP(C8, [2]Sheet1!A:C, 3, FALSE), 0)</f>
        <v>0</v>
      </c>
      <c r="M8">
        <v>0</v>
      </c>
      <c r="N8">
        <f>IFERROR(VLOOKUP(B8, [3]Sheet1!A:B, 2, FALSE), "")</f>
        <v>24</v>
      </c>
      <c r="O8">
        <f>IFERROR(VLOOKUP(C8, [3]Sheet1!A:B, 2, FALSE), "")</f>
        <v>30</v>
      </c>
    </row>
    <row r="9" spans="1:15" ht="22.2" customHeight="1">
      <c r="A9" t="s">
        <v>21</v>
      </c>
      <c r="B9" t="s">
        <v>22</v>
      </c>
      <c r="C9" t="s">
        <v>23</v>
      </c>
      <c r="D9">
        <f>VLOOKUP(B9, [1]Sheet1!A:B, 2, FALSE)</f>
        <v>8</v>
      </c>
      <c r="E9">
        <f>VLOOKUP(C9, [1]Sheet1!A:B, 2, FALSE)</f>
        <v>25</v>
      </c>
      <c r="F9">
        <f>IFERROR(VLOOKUP(B9, [2]Sheet1!A:C, 2, FALSE), 0)</f>
        <v>1</v>
      </c>
      <c r="G9">
        <f>IFERROR(VLOOKUP(B9, [2]Sheet1!A:C, 3, FALSE), 0)</f>
        <v>4</v>
      </c>
      <c r="H9">
        <f>IFERROR(VLOOKUP(C9, [2]Sheet1!A:C, 2, FALSE), 0)</f>
        <v>0</v>
      </c>
      <c r="I9">
        <f>IFERROR(VLOOKUP(C9, [2]Sheet1!A:C, 3, FALSE), 0)</f>
        <v>0</v>
      </c>
      <c r="M9">
        <v>1</v>
      </c>
      <c r="N9">
        <f>IFERROR(VLOOKUP(B9, [3]Sheet1!A:B, 2, FALSE), "")</f>
        <v>6</v>
      </c>
      <c r="O9">
        <f>IFERROR(VLOOKUP(C9, [3]Sheet1!A:B, 2, FALSE), "")</f>
        <v>31</v>
      </c>
    </row>
    <row r="10" spans="1:15" ht="22.2" customHeight="1">
      <c r="A10" t="s">
        <v>24</v>
      </c>
      <c r="B10" t="s">
        <v>22</v>
      </c>
      <c r="C10" t="s">
        <v>19</v>
      </c>
      <c r="D10">
        <f>VLOOKUP(B10, [1]Sheet1!A:B, 2, FALSE)</f>
        <v>8</v>
      </c>
      <c r="E10">
        <f>VLOOKUP(C10, [1]Sheet1!A:B, 2, FALSE)</f>
        <v>18</v>
      </c>
      <c r="F10">
        <f>IFERROR(VLOOKUP(B10, [2]Sheet1!A:C, 2, FALSE), 0)</f>
        <v>1</v>
      </c>
      <c r="G10">
        <f>IFERROR(VLOOKUP(B10, [2]Sheet1!A:C, 3, FALSE), 0)</f>
        <v>4</v>
      </c>
      <c r="H10">
        <f>IFERROR(VLOOKUP(C10, [2]Sheet1!A:C, 2, FALSE), 0)</f>
        <v>0</v>
      </c>
      <c r="I10">
        <f>IFERROR(VLOOKUP(C10, [2]Sheet1!A:C, 3, FALSE), 0)</f>
        <v>0</v>
      </c>
      <c r="M10">
        <v>1</v>
      </c>
      <c r="N10">
        <f>IFERROR(VLOOKUP(B10, [3]Sheet1!A:B, 2, FALSE), "")</f>
        <v>6</v>
      </c>
      <c r="O10">
        <f>IFERROR(VLOOKUP(C10, [3]Sheet1!A:B, 2, FALSE), "")</f>
        <v>24</v>
      </c>
    </row>
    <row r="11" spans="1:15" ht="22.2" customHeight="1">
      <c r="A11" t="s">
        <v>25</v>
      </c>
      <c r="B11" t="s">
        <v>20</v>
      </c>
      <c r="C11" t="s">
        <v>23</v>
      </c>
      <c r="D11">
        <f>VLOOKUP(B11, [1]Sheet1!A:B, 2, FALSE)</f>
        <v>37</v>
      </c>
      <c r="E11">
        <f>VLOOKUP(C11, [1]Sheet1!A:B, 2, FALSE)</f>
        <v>25</v>
      </c>
      <c r="F11">
        <f>IFERROR(VLOOKUP(B11, [2]Sheet1!A:C, 2, FALSE), 0)</f>
        <v>0</v>
      </c>
      <c r="G11">
        <f>IFERROR(VLOOKUP(B11, [2]Sheet1!A:C, 3, FALSE), 0)</f>
        <v>0</v>
      </c>
      <c r="H11">
        <f>IFERROR(VLOOKUP(C11, [2]Sheet1!A:C, 2, FALSE), 0)</f>
        <v>0</v>
      </c>
      <c r="I11">
        <f>IFERROR(VLOOKUP(C11, [2]Sheet1!A:C, 3, FALSE), 0)</f>
        <v>0</v>
      </c>
      <c r="M11">
        <v>1</v>
      </c>
      <c r="N11">
        <f>IFERROR(VLOOKUP(B11, [3]Sheet1!A:B, 2, FALSE), "")</f>
        <v>30</v>
      </c>
      <c r="O11">
        <f>IFERROR(VLOOKUP(C11, [3]Sheet1!A:B, 2, FALSE), "")</f>
        <v>31</v>
      </c>
    </row>
    <row r="12" spans="1:15" ht="22.2" customHeight="1">
      <c r="A12" t="s">
        <v>26</v>
      </c>
      <c r="B12" t="s">
        <v>20</v>
      </c>
      <c r="C12" t="s">
        <v>22</v>
      </c>
      <c r="D12">
        <f>VLOOKUP(B12, [1]Sheet1!A:B, 2, FALSE)</f>
        <v>37</v>
      </c>
      <c r="E12">
        <f>VLOOKUP(C12, [1]Sheet1!A:B, 2, FALSE)</f>
        <v>8</v>
      </c>
      <c r="F12">
        <f>IFERROR(VLOOKUP(B12, [2]Sheet1!A:C, 2, FALSE), 0)</f>
        <v>0</v>
      </c>
      <c r="G12">
        <f>IFERROR(VLOOKUP(B12, [2]Sheet1!A:C, 3, FALSE), 0)</f>
        <v>0</v>
      </c>
      <c r="H12">
        <f>IFERROR(VLOOKUP(C12, [2]Sheet1!A:C, 2, FALSE), 0)</f>
        <v>1</v>
      </c>
      <c r="I12">
        <f>IFERROR(VLOOKUP(C12, [2]Sheet1!A:C, 3, FALSE), 0)</f>
        <v>4</v>
      </c>
      <c r="M12">
        <v>-1</v>
      </c>
      <c r="N12">
        <f>IFERROR(VLOOKUP(B12, [3]Sheet1!A:B, 2, FALSE), "")</f>
        <v>30</v>
      </c>
      <c r="O12">
        <f>IFERROR(VLOOKUP(C12, [3]Sheet1!A:B, 2, FALSE), "")</f>
        <v>6</v>
      </c>
    </row>
    <row r="13" spans="1:15" ht="22.2" customHeight="1">
      <c r="A13" t="s">
        <v>27</v>
      </c>
      <c r="B13" t="s">
        <v>23</v>
      </c>
      <c r="C13" t="s">
        <v>19</v>
      </c>
      <c r="D13">
        <f>VLOOKUP(B13, [1]Sheet1!A:B, 2, FALSE)</f>
        <v>25</v>
      </c>
      <c r="E13">
        <f>VLOOKUP(C13, [1]Sheet1!A:B, 2, FALSE)</f>
        <v>18</v>
      </c>
      <c r="F13">
        <f>IFERROR(VLOOKUP(B13, [2]Sheet1!A:C, 2, FALSE), 0)</f>
        <v>0</v>
      </c>
      <c r="G13">
        <f>IFERROR(VLOOKUP(B13, [2]Sheet1!A:C, 3, FALSE), 0)</f>
        <v>0</v>
      </c>
      <c r="H13">
        <f>IFERROR(VLOOKUP(C13, [2]Sheet1!A:C, 2, FALSE), 0)</f>
        <v>0</v>
      </c>
      <c r="I13">
        <f>IFERROR(VLOOKUP(C13, [2]Sheet1!A:C, 3, FALSE), 0)</f>
        <v>0</v>
      </c>
      <c r="M13">
        <v>1</v>
      </c>
      <c r="N13">
        <f>IFERROR(VLOOKUP(B13, [3]Sheet1!A:B, 2, FALSE), "")</f>
        <v>31</v>
      </c>
      <c r="O13">
        <f>IFERROR(VLOOKUP(C13, [3]Sheet1!A:B, 2, FALSE), "")</f>
        <v>24</v>
      </c>
    </row>
    <row r="14" spans="1:15" ht="22.2" customHeight="1">
      <c r="A14" t="s">
        <v>28</v>
      </c>
      <c r="B14" t="s">
        <v>29</v>
      </c>
      <c r="C14" t="s">
        <v>30</v>
      </c>
      <c r="D14">
        <f>VLOOKUP(B14, [1]Sheet1!A:B, 2, FALSE)</f>
        <v>2</v>
      </c>
      <c r="E14">
        <f>VLOOKUP(C14, [1]Sheet1!A:B, 2, FALSE)</f>
        <v>22</v>
      </c>
      <c r="F14">
        <f>IFERROR(VLOOKUP(B14, [2]Sheet1!A:C, 2, FALSE), 0)</f>
        <v>3</v>
      </c>
      <c r="G14">
        <f>IFERROR(VLOOKUP(B14, [2]Sheet1!A:C, 3, FALSE), 0)</f>
        <v>7</v>
      </c>
      <c r="H14">
        <f>IFERROR(VLOOKUP(C14, [2]Sheet1!A:C, 2, FALSE), 0)</f>
        <v>0</v>
      </c>
      <c r="I14">
        <f>IFERROR(VLOOKUP(C14, [2]Sheet1!A:C, 3, FALSE), 0)</f>
        <v>2</v>
      </c>
      <c r="M14">
        <v>1</v>
      </c>
      <c r="N14">
        <f>IFERROR(VLOOKUP(B14, [3]Sheet1!A:B, 2, FALSE), "")</f>
        <v>5</v>
      </c>
      <c r="O14">
        <f>IFERROR(VLOOKUP(C14, [3]Sheet1!A:B, 2, FALSE), "")</f>
        <v>10</v>
      </c>
    </row>
    <row r="15" spans="1:15" ht="22.2" customHeight="1">
      <c r="A15" t="s">
        <v>31</v>
      </c>
      <c r="B15" t="s">
        <v>32</v>
      </c>
      <c r="C15" t="s">
        <v>33</v>
      </c>
      <c r="D15">
        <f>VLOOKUP(B15, [1]Sheet1!A:B, 2, FALSE)</f>
        <v>50</v>
      </c>
      <c r="E15">
        <f>VLOOKUP(C15, [1]Sheet1!A:B, 2, FALSE)</f>
        <v>29</v>
      </c>
      <c r="F15">
        <f>IFERROR(VLOOKUP(B15, [2]Sheet1!A:C, 2, FALSE), 0)</f>
        <v>0</v>
      </c>
      <c r="G15">
        <f>IFERROR(VLOOKUP(B15, [2]Sheet1!A:C, 3, FALSE), 0)</f>
        <v>0</v>
      </c>
      <c r="H15">
        <f>IFERROR(VLOOKUP(C15, [2]Sheet1!A:C, 2, FALSE), 0)</f>
        <v>0</v>
      </c>
      <c r="I15">
        <f>IFERROR(VLOOKUP(C15, [2]Sheet1!A:C, 3, FALSE), 0)</f>
        <v>0</v>
      </c>
      <c r="M15">
        <v>-1</v>
      </c>
      <c r="N15">
        <f>IFERROR(VLOOKUP(B15, [3]Sheet1!A:B, 2, FALSE), "")</f>
        <v>32</v>
      </c>
      <c r="O15">
        <f>IFERROR(VLOOKUP(C15, [3]Sheet1!A:B, 2, FALSE), "")</f>
        <v>25</v>
      </c>
    </row>
    <row r="16" spans="1:15" ht="22.2" customHeight="1">
      <c r="A16" t="s">
        <v>34</v>
      </c>
      <c r="B16" t="s">
        <v>29</v>
      </c>
      <c r="C16" t="s">
        <v>32</v>
      </c>
      <c r="D16">
        <f>VLOOKUP(B16, [1]Sheet1!A:B, 2, FALSE)</f>
        <v>2</v>
      </c>
      <c r="E16">
        <f>VLOOKUP(C16, [1]Sheet1!A:B, 2, FALSE)</f>
        <v>50</v>
      </c>
      <c r="F16">
        <f>IFERROR(VLOOKUP(B16, [2]Sheet1!A:C, 2, FALSE), 0)</f>
        <v>3</v>
      </c>
      <c r="G16">
        <f>IFERROR(VLOOKUP(B16, [2]Sheet1!A:C, 3, FALSE), 0)</f>
        <v>7</v>
      </c>
      <c r="H16">
        <f>IFERROR(VLOOKUP(C16, [2]Sheet1!A:C, 2, FALSE), 0)</f>
        <v>0</v>
      </c>
      <c r="I16">
        <f>IFERROR(VLOOKUP(C16, [2]Sheet1!A:C, 3, FALSE), 0)</f>
        <v>0</v>
      </c>
      <c r="M16">
        <v>1</v>
      </c>
      <c r="N16">
        <f>IFERROR(VLOOKUP(B16, [3]Sheet1!A:B, 2, FALSE), "")</f>
        <v>5</v>
      </c>
      <c r="O16">
        <f>IFERROR(VLOOKUP(C16, [3]Sheet1!A:B, 2, FALSE), "")</f>
        <v>32</v>
      </c>
    </row>
    <row r="17" spans="1:15" ht="22.2" customHeight="1">
      <c r="A17" t="s">
        <v>35</v>
      </c>
      <c r="B17" t="s">
        <v>33</v>
      </c>
      <c r="C17" t="s">
        <v>30</v>
      </c>
      <c r="D17">
        <f>VLOOKUP(B17, [1]Sheet1!A:B, 2, FALSE)</f>
        <v>29</v>
      </c>
      <c r="E17">
        <f>VLOOKUP(C17, [1]Sheet1!A:B, 2, FALSE)</f>
        <v>22</v>
      </c>
      <c r="F17">
        <f>IFERROR(VLOOKUP(B17, [2]Sheet1!A:C, 2, FALSE), 0)</f>
        <v>0</v>
      </c>
      <c r="G17">
        <f>IFERROR(VLOOKUP(B17, [2]Sheet1!A:C, 3, FALSE), 0)</f>
        <v>0</v>
      </c>
      <c r="H17">
        <f>IFERROR(VLOOKUP(C17, [2]Sheet1!A:C, 2, FALSE), 0)</f>
        <v>0</v>
      </c>
      <c r="I17">
        <f>IFERROR(VLOOKUP(C17, [2]Sheet1!A:C, 3, FALSE), 0)</f>
        <v>2</v>
      </c>
      <c r="M17">
        <v>0</v>
      </c>
      <c r="N17">
        <f>IFERROR(VLOOKUP(B17, [3]Sheet1!A:B, 2, FALSE), "")</f>
        <v>25</v>
      </c>
      <c r="O17">
        <f>IFERROR(VLOOKUP(C17, [3]Sheet1!A:B, 2, FALSE), "")</f>
        <v>10</v>
      </c>
    </row>
    <row r="18" spans="1:15" ht="22.2" customHeight="1">
      <c r="A18" t="s">
        <v>36</v>
      </c>
      <c r="B18" t="s">
        <v>33</v>
      </c>
      <c r="C18" t="s">
        <v>29</v>
      </c>
      <c r="D18">
        <f>VLOOKUP(B18, [1]Sheet1!A:B, 2, FALSE)</f>
        <v>29</v>
      </c>
      <c r="E18">
        <f>VLOOKUP(C18, [1]Sheet1!A:B, 2, FALSE)</f>
        <v>2</v>
      </c>
      <c r="F18">
        <f>IFERROR(VLOOKUP(B18, [2]Sheet1!A:C, 2, FALSE), 0)</f>
        <v>0</v>
      </c>
      <c r="G18">
        <f>IFERROR(VLOOKUP(B18, [2]Sheet1!A:C, 3, FALSE), 0)</f>
        <v>0</v>
      </c>
      <c r="H18">
        <f>IFERROR(VLOOKUP(C18, [2]Sheet1!A:C, 2, FALSE), 0)</f>
        <v>3</v>
      </c>
      <c r="I18">
        <f>IFERROR(VLOOKUP(C18, [2]Sheet1!A:C, 3, FALSE), 0)</f>
        <v>7</v>
      </c>
      <c r="M18">
        <v>-1</v>
      </c>
      <c r="N18">
        <f>IFERROR(VLOOKUP(B18, [3]Sheet1!A:B, 2, FALSE), "")</f>
        <v>25</v>
      </c>
      <c r="O18">
        <f>IFERROR(VLOOKUP(C18, [3]Sheet1!A:B, 2, FALSE), "")</f>
        <v>5</v>
      </c>
    </row>
    <row r="19" spans="1:15" ht="22.2" customHeight="1">
      <c r="A19" t="s">
        <v>37</v>
      </c>
      <c r="B19" t="s">
        <v>30</v>
      </c>
      <c r="C19" t="s">
        <v>32</v>
      </c>
      <c r="D19">
        <f>VLOOKUP(B19, [1]Sheet1!A:B, 2, FALSE)</f>
        <v>22</v>
      </c>
      <c r="E19">
        <f>VLOOKUP(C19, [1]Sheet1!A:B, 2, FALSE)</f>
        <v>50</v>
      </c>
      <c r="F19">
        <f>IFERROR(VLOOKUP(B19, [2]Sheet1!A:C, 2, FALSE), 0)</f>
        <v>0</v>
      </c>
      <c r="G19">
        <f>IFERROR(VLOOKUP(B19, [2]Sheet1!A:C, 3, FALSE), 0)</f>
        <v>2</v>
      </c>
      <c r="H19">
        <f>IFERROR(VLOOKUP(C19, [2]Sheet1!A:C, 2, FALSE), 0)</f>
        <v>0</v>
      </c>
      <c r="I19">
        <f>IFERROR(VLOOKUP(C19, [2]Sheet1!A:C, 3, FALSE), 0)</f>
        <v>0</v>
      </c>
      <c r="M19">
        <v>1</v>
      </c>
      <c r="N19">
        <f>IFERROR(VLOOKUP(B19, [3]Sheet1!A:B, 2, FALSE), "")</f>
        <v>10</v>
      </c>
      <c r="O19">
        <f>IFERROR(VLOOKUP(C19, [3]Sheet1!A:B, 2, FALSE), "")</f>
        <v>32</v>
      </c>
    </row>
    <row r="20" spans="1:15" ht="22.2" customHeight="1">
      <c r="A20" t="s">
        <v>38</v>
      </c>
      <c r="B20" t="s">
        <v>39</v>
      </c>
      <c r="C20" t="s">
        <v>40</v>
      </c>
      <c r="D20">
        <f>VLOOKUP(B20, [1]Sheet1!A:B, 2, FALSE)</f>
        <v>40</v>
      </c>
      <c r="E20">
        <f>VLOOKUP(C20, [1]Sheet1!A:B, 2, FALSE)</f>
        <v>38</v>
      </c>
      <c r="F20">
        <f>IFERROR(VLOOKUP(B20, [2]Sheet1!A:C, 2, FALSE), 0)</f>
        <v>0</v>
      </c>
      <c r="G20">
        <f>IFERROR(VLOOKUP(B20, [2]Sheet1!A:C, 3, FALSE), 0)</f>
        <v>0</v>
      </c>
      <c r="H20">
        <f>IFERROR(VLOOKUP(C20, [2]Sheet1!A:C, 2, FALSE), 0)</f>
        <v>0</v>
      </c>
      <c r="I20">
        <f>IFERROR(VLOOKUP(C20, [2]Sheet1!A:C, 3, FALSE), 0)</f>
        <v>0</v>
      </c>
      <c r="M20">
        <v>1</v>
      </c>
      <c r="N20">
        <f>IFERROR(VLOOKUP(B20, [3]Sheet1!A:B, 2, FALSE), "")</f>
        <v>20</v>
      </c>
      <c r="O20">
        <f>IFERROR(VLOOKUP(C20, [3]Sheet1!A:B, 2, FALSE), "")</f>
        <v>26</v>
      </c>
    </row>
    <row r="21" spans="1:15" ht="22.2" customHeight="1">
      <c r="A21" t="s">
        <v>41</v>
      </c>
      <c r="B21" t="s">
        <v>42</v>
      </c>
      <c r="C21" t="s">
        <v>43</v>
      </c>
      <c r="D21">
        <f>VLOOKUP(B21, [1]Sheet1!A:B, 2, FALSE)</f>
        <v>5</v>
      </c>
      <c r="E21">
        <f>VLOOKUP(C21, [1]Sheet1!A:B, 2, FALSE)</f>
        <v>5</v>
      </c>
      <c r="F21">
        <f>IFERROR(VLOOKUP(B21, [2]Sheet1!A:C, 2, FALSE), 0)</f>
        <v>1</v>
      </c>
      <c r="G21">
        <f>IFERROR(VLOOKUP(B21, [2]Sheet1!A:C, 3, FALSE), 0)</f>
        <v>1</v>
      </c>
      <c r="H21">
        <f>IFERROR(VLOOKUP(C21, [2]Sheet1!A:C, 2, FALSE), 0)</f>
        <v>1</v>
      </c>
      <c r="I21">
        <f>IFERROR(VLOOKUP(C21, [2]Sheet1!A:C, 3, FALSE), 0)</f>
        <v>3</v>
      </c>
      <c r="M21">
        <v>1</v>
      </c>
      <c r="N21">
        <f>IFERROR(VLOOKUP(B21, [3]Sheet1!A:B, 2, FALSE), "")</f>
        <v>15</v>
      </c>
      <c r="O21">
        <f>IFERROR(VLOOKUP(C21, [3]Sheet1!A:B, 2, FALSE), "")</f>
        <v>8</v>
      </c>
    </row>
    <row r="22" spans="1:15" ht="22.2" customHeight="1">
      <c r="A22" t="s">
        <v>44</v>
      </c>
      <c r="B22" t="s">
        <v>39</v>
      </c>
      <c r="C22" t="s">
        <v>45</v>
      </c>
      <c r="D22">
        <f>VLOOKUP(B22, [1]Sheet1!A:B, 2, FALSE)</f>
        <v>40</v>
      </c>
      <c r="E22">
        <f>VLOOKUP(C22, [1]Sheet1!A:B, 2, FALSE)</f>
        <v>13</v>
      </c>
      <c r="F22">
        <f>IFERROR(VLOOKUP(B22, [2]Sheet1!A:C, 2, FALSE), 0)</f>
        <v>0</v>
      </c>
      <c r="G22">
        <f>IFERROR(VLOOKUP(B22, [2]Sheet1!A:C, 3, FALSE), 0)</f>
        <v>0</v>
      </c>
      <c r="H22">
        <f>IFERROR(VLOOKUP(C22, [2]Sheet1!A:C, 2, FALSE), 0)</f>
        <v>0</v>
      </c>
      <c r="I22">
        <f>IFERROR(VLOOKUP(C22, [2]Sheet1!A:C, 3, FALSE), 0)</f>
        <v>0</v>
      </c>
      <c r="M22">
        <v>0</v>
      </c>
      <c r="N22">
        <f>IFERROR(VLOOKUP(B22, [3]Sheet1!A:B, 2, FALSE), "")</f>
        <v>20</v>
      </c>
      <c r="O22">
        <f>IFERROR(VLOOKUP(C22, [3]Sheet1!A:B, 2, FALSE), "")</f>
        <v>15</v>
      </c>
    </row>
    <row r="23" spans="1:15" ht="22.2" customHeight="1">
      <c r="A23" t="s">
        <v>46</v>
      </c>
      <c r="B23" t="s">
        <v>43</v>
      </c>
      <c r="C23" t="s">
        <v>40</v>
      </c>
      <c r="D23">
        <f>VLOOKUP(B23, [1]Sheet1!A:B, 2, FALSE)</f>
        <v>5</v>
      </c>
      <c r="E23">
        <f>VLOOKUP(C23, [1]Sheet1!A:B, 2, FALSE)</f>
        <v>38</v>
      </c>
      <c r="F23">
        <f>IFERROR(VLOOKUP(B23, [2]Sheet1!A:C, 2, FALSE), 0)</f>
        <v>1</v>
      </c>
      <c r="G23">
        <f>IFERROR(VLOOKUP(B23, [2]Sheet1!A:C, 3, FALSE), 0)</f>
        <v>3</v>
      </c>
      <c r="H23">
        <f>IFERROR(VLOOKUP(C23, [2]Sheet1!A:C, 2, FALSE), 0)</f>
        <v>0</v>
      </c>
      <c r="I23">
        <f>IFERROR(VLOOKUP(C23, [2]Sheet1!A:C, 3, FALSE), 0)</f>
        <v>0</v>
      </c>
      <c r="M23">
        <v>1</v>
      </c>
      <c r="N23">
        <f>IFERROR(VLOOKUP(B23, [3]Sheet1!A:B, 2, FALSE), "")</f>
        <v>8</v>
      </c>
      <c r="O23">
        <f>IFERROR(VLOOKUP(C23, [3]Sheet1!A:B, 2, FALSE), "")</f>
        <v>26</v>
      </c>
    </row>
    <row r="24" spans="1:15" ht="22.2" customHeight="1">
      <c r="A24" t="s">
        <v>47</v>
      </c>
      <c r="B24" t="s">
        <v>40</v>
      </c>
      <c r="C24" t="s">
        <v>45</v>
      </c>
      <c r="D24">
        <f>VLOOKUP(B24, [1]Sheet1!A:B, 2, FALSE)</f>
        <v>38</v>
      </c>
      <c r="E24">
        <f>VLOOKUP(C24, [1]Sheet1!A:B, 2, FALSE)</f>
        <v>13</v>
      </c>
      <c r="F24">
        <f>IFERROR(VLOOKUP(B24, [2]Sheet1!A:C, 2, FALSE), 0)</f>
        <v>0</v>
      </c>
      <c r="G24">
        <f>IFERROR(VLOOKUP(B24, [2]Sheet1!A:C, 3, FALSE), 0)</f>
        <v>0</v>
      </c>
      <c r="H24">
        <f>IFERROR(VLOOKUP(C24, [2]Sheet1!A:C, 2, FALSE), 0)</f>
        <v>0</v>
      </c>
      <c r="I24">
        <f>IFERROR(VLOOKUP(C24, [2]Sheet1!A:C, 3, FALSE), 0)</f>
        <v>0</v>
      </c>
      <c r="M24">
        <v>1</v>
      </c>
      <c r="N24">
        <f>IFERROR(VLOOKUP(B24, [3]Sheet1!A:B, 2, FALSE), "")</f>
        <v>26</v>
      </c>
      <c r="O24">
        <f>IFERROR(VLOOKUP(C24, [3]Sheet1!A:B, 2, FALSE), "")</f>
        <v>15</v>
      </c>
    </row>
    <row r="25" spans="1:15" ht="22.2" customHeight="1">
      <c r="A25" t="s">
        <v>52</v>
      </c>
      <c r="B25" t="s">
        <v>53</v>
      </c>
      <c r="C25" t="s">
        <v>54</v>
      </c>
      <c r="D25">
        <f>VLOOKUP(B25, [1]Sheet1!A:B, 2, FALSE)</f>
        <v>15</v>
      </c>
      <c r="E25">
        <f>VLOOKUP(C25, [1]Sheet1!A:B, 2, FALSE)</f>
        <v>17</v>
      </c>
      <c r="F25">
        <f>IFERROR(VLOOKUP(B25, [2]Sheet1!A:C, 2, FALSE), 0)</f>
        <v>0</v>
      </c>
      <c r="G25">
        <f>IFERROR(VLOOKUP(B25, [2]Sheet1!A:C, 3, FALSE), 0)</f>
        <v>0</v>
      </c>
      <c r="H25">
        <f>IFERROR(VLOOKUP(C25, [2]Sheet1!A:C, 2, FALSE), 0)</f>
        <v>1</v>
      </c>
      <c r="I25">
        <f>IFERROR(VLOOKUP(C25, [2]Sheet1!A:C, 3, FALSE), 0)</f>
        <v>2</v>
      </c>
      <c r="M25">
        <v>0</v>
      </c>
      <c r="N25">
        <f>IFERROR(VLOOKUP(B25, [3]Sheet1!A:B, 2, FALSE), "")</f>
        <v>22</v>
      </c>
      <c r="O25">
        <f>IFERROR(VLOOKUP(C25, [3]Sheet1!A:B, 2, FALSE), "")</f>
        <v>17</v>
      </c>
    </row>
    <row r="26" spans="1:15" ht="22.2" customHeight="1">
      <c r="A26" t="s">
        <v>55</v>
      </c>
      <c r="B26" t="s">
        <v>56</v>
      </c>
      <c r="C26" t="s">
        <v>57</v>
      </c>
      <c r="D26">
        <f>VLOOKUP(B26, [1]Sheet1!A:B, 2, FALSE)</f>
        <v>11</v>
      </c>
      <c r="E26">
        <f>VLOOKUP(C26, [1]Sheet1!A:B, 2, FALSE)</f>
        <v>34</v>
      </c>
      <c r="F26">
        <f>IFERROR(VLOOKUP(B26, [2]Sheet1!A:C, 2, FALSE), 0)</f>
        <v>1</v>
      </c>
      <c r="G26">
        <f>IFERROR(VLOOKUP(B26, [2]Sheet1!A:C, 3, FALSE), 0)</f>
        <v>3</v>
      </c>
      <c r="H26">
        <f>IFERROR(VLOOKUP(C26, [2]Sheet1!A:C, 2, FALSE), 0)</f>
        <v>0</v>
      </c>
      <c r="I26">
        <f>IFERROR(VLOOKUP(C26, [2]Sheet1!A:C, 3, FALSE), 0)</f>
        <v>0</v>
      </c>
      <c r="M26">
        <v>1</v>
      </c>
      <c r="N26">
        <f>IFERROR(VLOOKUP(B26, [3]Sheet1!A:B, 2, FALSE), "")</f>
        <v>1</v>
      </c>
      <c r="O26">
        <f>IFERROR(VLOOKUP(C26, [3]Sheet1!A:B, 2, FALSE), "")</f>
        <v>28</v>
      </c>
    </row>
    <row r="27" spans="1:15" ht="22.2" customHeight="1">
      <c r="A27" t="s">
        <v>58</v>
      </c>
      <c r="B27" t="s">
        <v>56</v>
      </c>
      <c r="C27" t="s">
        <v>53</v>
      </c>
      <c r="D27">
        <f>VLOOKUP(B27, [1]Sheet1!A:B, 2, FALSE)</f>
        <v>11</v>
      </c>
      <c r="E27">
        <f>VLOOKUP(C27, [1]Sheet1!A:B, 2, FALSE)</f>
        <v>15</v>
      </c>
      <c r="F27">
        <f>IFERROR(VLOOKUP(B27, [2]Sheet1!A:C, 2, FALSE), 0)</f>
        <v>1</v>
      </c>
      <c r="G27">
        <f>IFERROR(VLOOKUP(B27, [2]Sheet1!A:C, 3, FALSE), 0)</f>
        <v>3</v>
      </c>
      <c r="H27">
        <f>IFERROR(VLOOKUP(C27, [2]Sheet1!A:C, 2, FALSE), 0)</f>
        <v>0</v>
      </c>
      <c r="I27">
        <f>IFERROR(VLOOKUP(C27, [2]Sheet1!A:C, 3, FALSE), 0)</f>
        <v>0</v>
      </c>
      <c r="M27">
        <v>0</v>
      </c>
      <c r="N27">
        <f>IFERROR(VLOOKUP(B27, [3]Sheet1!A:B, 2, FALSE), "")</f>
        <v>1</v>
      </c>
      <c r="O27">
        <f>IFERROR(VLOOKUP(C27, [3]Sheet1!A:B, 2, FALSE), "")</f>
        <v>22</v>
      </c>
    </row>
    <row r="28" spans="1:15" ht="22.2" customHeight="1">
      <c r="A28" t="s">
        <v>59</v>
      </c>
      <c r="B28" t="s">
        <v>54</v>
      </c>
      <c r="C28" t="s">
        <v>57</v>
      </c>
      <c r="D28">
        <f>VLOOKUP(B28, [1]Sheet1!A:B, 2, FALSE)</f>
        <v>17</v>
      </c>
      <c r="E28">
        <f>VLOOKUP(C28, [1]Sheet1!A:B, 2, FALSE)</f>
        <v>34</v>
      </c>
      <c r="F28">
        <f>IFERROR(VLOOKUP(B28, [2]Sheet1!A:C, 2, FALSE), 0)</f>
        <v>1</v>
      </c>
      <c r="G28">
        <f>IFERROR(VLOOKUP(B28, [2]Sheet1!A:C, 3, FALSE), 0)</f>
        <v>2</v>
      </c>
      <c r="H28">
        <f>IFERROR(VLOOKUP(C28, [2]Sheet1!A:C, 2, FALSE), 0)</f>
        <v>0</v>
      </c>
      <c r="I28">
        <f>IFERROR(VLOOKUP(C28, [2]Sheet1!A:C, 3, FALSE), 0)</f>
        <v>0</v>
      </c>
      <c r="M28">
        <v>1</v>
      </c>
      <c r="N28">
        <f>IFERROR(VLOOKUP(B28, [3]Sheet1!A:B, 2, FALSE), "")</f>
        <v>17</v>
      </c>
      <c r="O28">
        <f>IFERROR(VLOOKUP(C28, [3]Sheet1!A:B, 2, FALSE), "")</f>
        <v>28</v>
      </c>
    </row>
    <row r="29" spans="1:15" ht="22.2" customHeight="1">
      <c r="A29" t="s">
        <v>60</v>
      </c>
      <c r="B29" t="s">
        <v>54</v>
      </c>
      <c r="C29" t="s">
        <v>56</v>
      </c>
      <c r="D29">
        <f>VLOOKUP(B29, [1]Sheet1!A:B, 2, FALSE)</f>
        <v>17</v>
      </c>
      <c r="E29">
        <f>VLOOKUP(C29, [1]Sheet1!A:B, 2, FALSE)</f>
        <v>11</v>
      </c>
      <c r="F29">
        <f>IFERROR(VLOOKUP(B29, [2]Sheet1!A:C, 2, FALSE), 0)</f>
        <v>1</v>
      </c>
      <c r="G29">
        <f>IFERROR(VLOOKUP(B29, [2]Sheet1!A:C, 3, FALSE), 0)</f>
        <v>2</v>
      </c>
      <c r="H29">
        <f>IFERROR(VLOOKUP(C29, [2]Sheet1!A:C, 2, FALSE), 0)</f>
        <v>1</v>
      </c>
      <c r="I29">
        <f>IFERROR(VLOOKUP(C29, [2]Sheet1!A:C, 3, FALSE), 0)</f>
        <v>3</v>
      </c>
      <c r="M29">
        <v>-1</v>
      </c>
      <c r="N29">
        <f>IFERROR(VLOOKUP(B29, [3]Sheet1!A:B, 2, FALSE), "")</f>
        <v>17</v>
      </c>
      <c r="O29">
        <f>IFERROR(VLOOKUP(C29, [3]Sheet1!A:B, 2, FALSE), "")</f>
        <v>1</v>
      </c>
    </row>
    <row r="30" spans="1:15" ht="22.2" customHeight="1">
      <c r="A30" t="s">
        <v>61</v>
      </c>
      <c r="B30" t="s">
        <v>57</v>
      </c>
      <c r="C30" t="s">
        <v>53</v>
      </c>
      <c r="D30">
        <f>VLOOKUP(B30, [1]Sheet1!A:B, 2, FALSE)</f>
        <v>34</v>
      </c>
      <c r="E30">
        <f>VLOOKUP(C30, [1]Sheet1!A:B, 2, FALSE)</f>
        <v>15</v>
      </c>
      <c r="F30">
        <f>IFERROR(VLOOKUP(B30, [2]Sheet1!A:C, 2, FALSE), 0)</f>
        <v>0</v>
      </c>
      <c r="G30">
        <f>IFERROR(VLOOKUP(B30, [2]Sheet1!A:C, 3, FALSE), 0)</f>
        <v>0</v>
      </c>
      <c r="H30">
        <f>IFERROR(VLOOKUP(C30, [2]Sheet1!A:C, 2, FALSE), 0)</f>
        <v>0</v>
      </c>
      <c r="I30">
        <f>IFERROR(VLOOKUP(C30, [2]Sheet1!A:C, 3, FALSE), 0)</f>
        <v>0</v>
      </c>
      <c r="M30">
        <v>-1</v>
      </c>
      <c r="N30">
        <f>IFERROR(VLOOKUP(B30, [3]Sheet1!A:B, 2, FALSE), "")</f>
        <v>28</v>
      </c>
      <c r="O30">
        <f>IFERROR(VLOOKUP(C30, [3]Sheet1!A:B, 2, FALSE), "")</f>
        <v>22</v>
      </c>
    </row>
    <row r="31" spans="1:15" ht="22.2" customHeight="1">
      <c r="A31" t="s">
        <v>62</v>
      </c>
      <c r="B31" t="s">
        <v>63</v>
      </c>
      <c r="C31" t="s">
        <v>64</v>
      </c>
      <c r="D31">
        <f>VLOOKUP(B31, [1]Sheet1!A:B, 2, FALSE)</f>
        <v>3</v>
      </c>
      <c r="E31">
        <f>VLOOKUP(C31, [1]Sheet1!A:B, 2, FALSE)</f>
        <v>27</v>
      </c>
      <c r="F31">
        <f>IFERROR(VLOOKUP(B31, [2]Sheet1!A:C, 2, FALSE), 0)</f>
        <v>2</v>
      </c>
      <c r="G31">
        <f>IFERROR(VLOOKUP(B31, [2]Sheet1!A:C, 3, FALSE), 0)</f>
        <v>5</v>
      </c>
      <c r="H31">
        <f>IFERROR(VLOOKUP(C31, [2]Sheet1!A:C, 2, FALSE), 0)</f>
        <v>0</v>
      </c>
      <c r="I31">
        <f>IFERROR(VLOOKUP(C31, [2]Sheet1!A:C, 3, FALSE), 0)</f>
        <v>1</v>
      </c>
      <c r="M31">
        <v>1</v>
      </c>
      <c r="N31">
        <f>IFERROR(VLOOKUP(B31, [3]Sheet1!A:B, 2, FALSE), "")</f>
        <v>7</v>
      </c>
      <c r="O31">
        <f>IFERROR(VLOOKUP(C31, [3]Sheet1!A:B, 2, FALSE), "")</f>
        <v>16</v>
      </c>
    </row>
    <row r="32" spans="1:15" ht="22.2" customHeight="1">
      <c r="A32" t="s">
        <v>65</v>
      </c>
      <c r="B32" t="s">
        <v>66</v>
      </c>
      <c r="C32" t="s">
        <v>67</v>
      </c>
      <c r="D32">
        <f>VLOOKUP(B32, [1]Sheet1!A:B, 2, FALSE)</f>
        <v>12</v>
      </c>
      <c r="E32">
        <f>VLOOKUP(C32, [1]Sheet1!A:B, 2, FALSE)</f>
        <v>19</v>
      </c>
      <c r="F32">
        <f>IFERROR(VLOOKUP(B32, [2]Sheet1!A:C, 2, FALSE), 0)</f>
        <v>1</v>
      </c>
      <c r="G32">
        <f>IFERROR(VLOOKUP(B32, [2]Sheet1!A:C, 3, FALSE), 0)</f>
        <v>4</v>
      </c>
      <c r="H32">
        <f>IFERROR(VLOOKUP(C32, [2]Sheet1!A:C, 2, FALSE), 0)</f>
        <v>0</v>
      </c>
      <c r="I32">
        <f>IFERROR(VLOOKUP(C32, [2]Sheet1!A:C, 3, FALSE), 0)</f>
        <v>1</v>
      </c>
      <c r="M32">
        <v>0</v>
      </c>
      <c r="N32">
        <f>IFERROR(VLOOKUP(B32, [3]Sheet1!A:B, 2, FALSE), "")</f>
        <v>4</v>
      </c>
      <c r="O32">
        <f>IFERROR(VLOOKUP(C32, [3]Sheet1!A:B, 2, FALSE), "")</f>
        <v>11</v>
      </c>
    </row>
    <row r="33" spans="1:15" ht="22.2" customHeight="1">
      <c r="A33" t="s">
        <v>68</v>
      </c>
      <c r="B33" t="s">
        <v>67</v>
      </c>
      <c r="C33" t="s">
        <v>64</v>
      </c>
      <c r="D33">
        <f>VLOOKUP(B33, [1]Sheet1!A:B, 2, FALSE)</f>
        <v>19</v>
      </c>
      <c r="E33">
        <f>VLOOKUP(C33, [1]Sheet1!A:B, 2, FALSE)</f>
        <v>27</v>
      </c>
      <c r="F33">
        <f>IFERROR(VLOOKUP(B33, [2]Sheet1!A:C, 2, FALSE), 0)</f>
        <v>0</v>
      </c>
      <c r="G33">
        <f>IFERROR(VLOOKUP(B33, [2]Sheet1!A:C, 3, FALSE), 0)</f>
        <v>1</v>
      </c>
      <c r="H33">
        <f>IFERROR(VLOOKUP(C33, [2]Sheet1!A:C, 2, FALSE), 0)</f>
        <v>0</v>
      </c>
      <c r="I33">
        <f>IFERROR(VLOOKUP(C33, [2]Sheet1!A:C, 3, FALSE), 0)</f>
        <v>1</v>
      </c>
      <c r="M33">
        <v>1</v>
      </c>
      <c r="N33">
        <f>IFERROR(VLOOKUP(B33, [3]Sheet1!A:B, 2, FALSE), "")</f>
        <v>11</v>
      </c>
      <c r="O33">
        <f>IFERROR(VLOOKUP(C33, [3]Sheet1!A:B, 2, FALSE), "")</f>
        <v>16</v>
      </c>
    </row>
    <row r="34" spans="1:15" ht="22.2" customHeight="1">
      <c r="A34" t="s">
        <v>69</v>
      </c>
      <c r="B34" t="s">
        <v>63</v>
      </c>
      <c r="C34" t="s">
        <v>66</v>
      </c>
      <c r="D34">
        <f>VLOOKUP(B34, [1]Sheet1!A:B, 2, FALSE)</f>
        <v>3</v>
      </c>
      <c r="E34">
        <f>VLOOKUP(C34, [1]Sheet1!A:B, 2, FALSE)</f>
        <v>12</v>
      </c>
      <c r="F34">
        <f>IFERROR(VLOOKUP(B34, [2]Sheet1!A:C, 2, FALSE), 0)</f>
        <v>2</v>
      </c>
      <c r="G34">
        <f>IFERROR(VLOOKUP(B34, [2]Sheet1!A:C, 3, FALSE), 0)</f>
        <v>5</v>
      </c>
      <c r="H34">
        <f>IFERROR(VLOOKUP(C34, [2]Sheet1!A:C, 2, FALSE), 0)</f>
        <v>1</v>
      </c>
      <c r="I34">
        <f>IFERROR(VLOOKUP(C34, [2]Sheet1!A:C, 3, FALSE), 0)</f>
        <v>4</v>
      </c>
      <c r="M34">
        <v>-1</v>
      </c>
      <c r="N34">
        <f>IFERROR(VLOOKUP(B34, [3]Sheet1!A:B, 2, FALSE), "")</f>
        <v>7</v>
      </c>
      <c r="O34">
        <f>IFERROR(VLOOKUP(C34, [3]Sheet1!A:B, 2, FALSE), "")</f>
        <v>4</v>
      </c>
    </row>
    <row r="35" spans="1:15" ht="22.2" customHeight="1">
      <c r="A35" t="s">
        <v>70</v>
      </c>
      <c r="B35" t="s">
        <v>67</v>
      </c>
      <c r="C35" t="s">
        <v>63</v>
      </c>
      <c r="D35">
        <f>VLOOKUP(B35, [1]Sheet1!A:B, 2, FALSE)</f>
        <v>19</v>
      </c>
      <c r="E35">
        <f>VLOOKUP(C35, [1]Sheet1!A:B, 2, FALSE)</f>
        <v>3</v>
      </c>
      <c r="F35">
        <f>IFERROR(VLOOKUP(B35, [2]Sheet1!A:C, 2, FALSE), 0)</f>
        <v>0</v>
      </c>
      <c r="G35">
        <f>IFERROR(VLOOKUP(B35, [2]Sheet1!A:C, 3, FALSE), 0)</f>
        <v>1</v>
      </c>
      <c r="H35">
        <f>IFERROR(VLOOKUP(C35, [2]Sheet1!A:C, 2, FALSE), 0)</f>
        <v>2</v>
      </c>
      <c r="I35">
        <f>IFERROR(VLOOKUP(C35, [2]Sheet1!A:C, 3, FALSE), 0)</f>
        <v>5</v>
      </c>
      <c r="M35">
        <v>0</v>
      </c>
      <c r="N35">
        <f>IFERROR(VLOOKUP(B35, [3]Sheet1!A:B, 2, FALSE), "")</f>
        <v>11</v>
      </c>
      <c r="O35">
        <f>IFERROR(VLOOKUP(C35, [3]Sheet1!A:B, 2, FALSE), "")</f>
        <v>7</v>
      </c>
    </row>
    <row r="36" spans="1:15" ht="22.2" customHeight="1">
      <c r="A36" t="s">
        <v>71</v>
      </c>
      <c r="B36" t="s">
        <v>64</v>
      </c>
      <c r="C36" t="s">
        <v>66</v>
      </c>
      <c r="D36">
        <f>VLOOKUP(B36, [1]Sheet1!A:B, 2, FALSE)</f>
        <v>27</v>
      </c>
      <c r="E36">
        <f>VLOOKUP(C36, [1]Sheet1!A:B, 2, FALSE)</f>
        <v>12</v>
      </c>
      <c r="F36">
        <f>IFERROR(VLOOKUP(B36, [2]Sheet1!A:C, 2, FALSE), 0)</f>
        <v>0</v>
      </c>
      <c r="G36">
        <f>IFERROR(VLOOKUP(B36, [2]Sheet1!A:C, 3, FALSE), 0)</f>
        <v>1</v>
      </c>
      <c r="H36">
        <f>IFERROR(VLOOKUP(C36, [2]Sheet1!A:C, 2, FALSE), 0)</f>
        <v>1</v>
      </c>
      <c r="I36">
        <f>IFERROR(VLOOKUP(C36, [2]Sheet1!A:C, 3, FALSE), 0)</f>
        <v>4</v>
      </c>
      <c r="M36">
        <v>0</v>
      </c>
      <c r="N36">
        <f>IFERROR(VLOOKUP(B36, [3]Sheet1!A:B, 2, FALSE), "")</f>
        <v>16</v>
      </c>
      <c r="O36">
        <f>IFERROR(VLOOKUP(C36, [3]Sheet1!A:B, 2, FALSE), "")</f>
        <v>4</v>
      </c>
    </row>
    <row r="37" spans="1:15" ht="22.2" customHeight="1">
      <c r="A37" t="s">
        <v>72</v>
      </c>
      <c r="B37" t="s">
        <v>73</v>
      </c>
      <c r="C37" t="s">
        <v>74</v>
      </c>
      <c r="D37">
        <f>VLOOKUP(B37, [1]Sheet1!A:B, 2, FALSE)</f>
        <v>21</v>
      </c>
      <c r="E37">
        <f>VLOOKUP(C37, [1]Sheet1!A:B, 2, FALSE)</f>
        <v>7</v>
      </c>
      <c r="F37">
        <f>IFERROR(VLOOKUP(B37, [2]Sheet1!A:C, 2, FALSE), 0)</f>
        <v>0</v>
      </c>
      <c r="G37">
        <f>IFERROR(VLOOKUP(B37, [2]Sheet1!A:C, 3, FALSE), 0)</f>
        <v>1</v>
      </c>
      <c r="H37">
        <f>IFERROR(VLOOKUP(C37, [2]Sheet1!A:C, 2, FALSE), 0)</f>
        <v>0</v>
      </c>
      <c r="I37">
        <f>IFERROR(VLOOKUP(C37, [2]Sheet1!A:C, 3, FALSE), 0)</f>
        <v>2</v>
      </c>
      <c r="M37">
        <v>-1</v>
      </c>
      <c r="N37">
        <f>IFERROR(VLOOKUP(B37, [3]Sheet1!A:B, 2, FALSE), "")</f>
        <v>12</v>
      </c>
      <c r="O37">
        <f>IFERROR(VLOOKUP(C37, [3]Sheet1!A:B, 2, FALSE), "")</f>
        <v>18</v>
      </c>
    </row>
    <row r="38" spans="1:15" ht="22.2" customHeight="1">
      <c r="A38" t="s">
        <v>75</v>
      </c>
      <c r="B38" t="s">
        <v>76</v>
      </c>
      <c r="C38" t="s">
        <v>77</v>
      </c>
      <c r="D38">
        <f>VLOOKUP(B38, [1]Sheet1!A:B, 2, FALSE)</f>
        <v>6</v>
      </c>
      <c r="E38">
        <f>VLOOKUP(C38, [1]Sheet1!A:B, 2, FALSE)</f>
        <v>36</v>
      </c>
      <c r="F38">
        <f>IFERROR(VLOOKUP(B38, [2]Sheet1!A:C, 2, FALSE), 0)</f>
        <v>2</v>
      </c>
      <c r="G38">
        <f>IFERROR(VLOOKUP(B38, [2]Sheet1!A:C, 3, FALSE), 0)</f>
        <v>5</v>
      </c>
      <c r="H38">
        <f>IFERROR(VLOOKUP(C38, [2]Sheet1!A:C, 2, FALSE), 0)</f>
        <v>0</v>
      </c>
      <c r="I38">
        <f>IFERROR(VLOOKUP(C38, [2]Sheet1!A:C, 3, FALSE), 0)</f>
        <v>0</v>
      </c>
      <c r="M38">
        <v>1</v>
      </c>
      <c r="N38">
        <f>IFERROR(VLOOKUP(B38, [3]Sheet1!A:B, 2, FALSE), "")</f>
        <v>2</v>
      </c>
      <c r="O38">
        <f>IFERROR(VLOOKUP(C38, [3]Sheet1!A:B, 2, FALSE), "")</f>
        <v>29</v>
      </c>
    </row>
    <row r="39" spans="1:15" ht="22.2" customHeight="1">
      <c r="A39" t="s">
        <v>78</v>
      </c>
      <c r="B39" t="s">
        <v>76</v>
      </c>
      <c r="C39" t="s">
        <v>73</v>
      </c>
      <c r="D39">
        <f>VLOOKUP(B39, [1]Sheet1!A:B, 2, FALSE)</f>
        <v>6</v>
      </c>
      <c r="E39">
        <f>VLOOKUP(C39, [1]Sheet1!A:B, 2, FALSE)</f>
        <v>21</v>
      </c>
      <c r="F39">
        <f>IFERROR(VLOOKUP(B39, [2]Sheet1!A:C, 2, FALSE), 0)</f>
        <v>2</v>
      </c>
      <c r="G39">
        <f>IFERROR(VLOOKUP(B39, [2]Sheet1!A:C, 3, FALSE), 0)</f>
        <v>5</v>
      </c>
      <c r="H39">
        <f>IFERROR(VLOOKUP(C39, [2]Sheet1!A:C, 2, FALSE), 0)</f>
        <v>0</v>
      </c>
      <c r="I39">
        <f>IFERROR(VLOOKUP(C39, [2]Sheet1!A:C, 3, FALSE), 0)</f>
        <v>1</v>
      </c>
      <c r="M39">
        <v>-1</v>
      </c>
      <c r="N39">
        <f>IFERROR(VLOOKUP(B39, [3]Sheet1!A:B, 2, FALSE), "")</f>
        <v>2</v>
      </c>
      <c r="O39">
        <f>IFERROR(VLOOKUP(C39, [3]Sheet1!A:B, 2, FALSE), "")</f>
        <v>12</v>
      </c>
    </row>
    <row r="40" spans="1:15" ht="22.2" customHeight="1">
      <c r="A40" t="s">
        <v>79</v>
      </c>
      <c r="B40" t="s">
        <v>74</v>
      </c>
      <c r="C40" t="s">
        <v>77</v>
      </c>
      <c r="D40">
        <f>VLOOKUP(B40, [1]Sheet1!A:B, 2, FALSE)</f>
        <v>7</v>
      </c>
      <c r="E40">
        <f>VLOOKUP(C40, [1]Sheet1!A:B, 2, FALSE)</f>
        <v>36</v>
      </c>
      <c r="F40">
        <f>IFERROR(VLOOKUP(B40, [2]Sheet1!A:C, 2, FALSE), 0)</f>
        <v>0</v>
      </c>
      <c r="G40">
        <f>IFERROR(VLOOKUP(B40, [2]Sheet1!A:C, 3, FALSE), 0)</f>
        <v>2</v>
      </c>
      <c r="H40">
        <f>IFERROR(VLOOKUP(C40, [2]Sheet1!A:C, 2, FALSE), 0)</f>
        <v>0</v>
      </c>
      <c r="I40">
        <f>IFERROR(VLOOKUP(C40, [2]Sheet1!A:C, 3, FALSE), 0)</f>
        <v>0</v>
      </c>
      <c r="M40">
        <v>1</v>
      </c>
      <c r="N40">
        <f>IFERROR(VLOOKUP(B40, [3]Sheet1!A:B, 2, FALSE), "")</f>
        <v>18</v>
      </c>
      <c r="O40">
        <f>IFERROR(VLOOKUP(C40, [3]Sheet1!A:B, 2, FALSE), "")</f>
        <v>29</v>
      </c>
    </row>
    <row r="41" spans="1:15" ht="22.2" customHeight="1">
      <c r="A41" t="s">
        <v>80</v>
      </c>
      <c r="B41" t="s">
        <v>74</v>
      </c>
      <c r="C41" t="s">
        <v>76</v>
      </c>
      <c r="D41">
        <f>VLOOKUP(B41, [1]Sheet1!A:B, 2, FALSE)</f>
        <v>7</v>
      </c>
      <c r="E41">
        <f>VLOOKUP(C41, [1]Sheet1!A:B, 2, FALSE)</f>
        <v>6</v>
      </c>
      <c r="F41">
        <f>IFERROR(VLOOKUP(B41, [2]Sheet1!A:C, 2, FALSE), 0)</f>
        <v>0</v>
      </c>
      <c r="G41">
        <f>IFERROR(VLOOKUP(B41, [2]Sheet1!A:C, 3, FALSE), 0)</f>
        <v>2</v>
      </c>
      <c r="H41">
        <f>IFERROR(VLOOKUP(C41, [2]Sheet1!A:C, 2, FALSE), 0)</f>
        <v>2</v>
      </c>
      <c r="I41">
        <f>IFERROR(VLOOKUP(C41, [2]Sheet1!A:C, 3, FALSE), 0)</f>
        <v>5</v>
      </c>
      <c r="M41">
        <v>0</v>
      </c>
      <c r="N41">
        <f>IFERROR(VLOOKUP(B41, [3]Sheet1!A:B, 2, FALSE), "")</f>
        <v>18</v>
      </c>
      <c r="O41">
        <f>IFERROR(VLOOKUP(C41, [3]Sheet1!A:B, 2, FALSE), "")</f>
        <v>2</v>
      </c>
    </row>
    <row r="42" spans="1:15" ht="22.2" customHeight="1">
      <c r="A42" t="s">
        <v>81</v>
      </c>
      <c r="B42" t="s">
        <v>77</v>
      </c>
      <c r="C42" t="s">
        <v>73</v>
      </c>
      <c r="D42">
        <f>VLOOKUP(B42, [1]Sheet1!A:B, 2, FALSE)</f>
        <v>36</v>
      </c>
      <c r="E42">
        <f>VLOOKUP(C42, [1]Sheet1!A:B, 2, FALSE)</f>
        <v>21</v>
      </c>
      <c r="F42">
        <f>IFERROR(VLOOKUP(B42, [2]Sheet1!A:C, 2, FALSE), 0)</f>
        <v>0</v>
      </c>
      <c r="G42">
        <f>IFERROR(VLOOKUP(B42, [2]Sheet1!A:C, 3, FALSE), 0)</f>
        <v>0</v>
      </c>
      <c r="H42">
        <f>IFERROR(VLOOKUP(C42, [2]Sheet1!A:C, 2, FALSE), 0)</f>
        <v>0</v>
      </c>
      <c r="I42">
        <f>IFERROR(VLOOKUP(C42, [2]Sheet1!A:C, 3, FALSE), 0)</f>
        <v>1</v>
      </c>
      <c r="M42">
        <v>1</v>
      </c>
      <c r="N42">
        <f>IFERROR(VLOOKUP(B42, [3]Sheet1!A:B, 2, FALSE), "")</f>
        <v>29</v>
      </c>
      <c r="O42">
        <f>IFERROR(VLOOKUP(C42, [3]Sheet1!A:B, 2, FALSE), "")</f>
        <v>12</v>
      </c>
    </row>
    <row r="43" spans="1:15" ht="22.2" customHeight="1">
      <c r="A43" t="s">
        <v>82</v>
      </c>
      <c r="B43" t="s">
        <v>83</v>
      </c>
      <c r="C43" t="s">
        <v>84</v>
      </c>
      <c r="D43">
        <f>VLOOKUP(B43, [1]Sheet1!A:B, 2, FALSE)</f>
        <v>32</v>
      </c>
      <c r="E43">
        <f>VLOOKUP(C43, [1]Sheet1!A:B, 2, FALSE)</f>
        <v>23</v>
      </c>
      <c r="F43">
        <f>IFERROR(VLOOKUP(B43, [2]Sheet1!A:C, 2, FALSE), 0)</f>
        <v>0</v>
      </c>
      <c r="G43">
        <f>IFERROR(VLOOKUP(B43, [2]Sheet1!A:C, 3, FALSE), 0)</f>
        <v>0</v>
      </c>
      <c r="H43">
        <f>IFERROR(VLOOKUP(C43, [2]Sheet1!A:C, 2, FALSE), 0)</f>
        <v>0</v>
      </c>
      <c r="I43">
        <f>IFERROR(VLOOKUP(C43, [2]Sheet1!A:C, 3, FALSE), 0)</f>
        <v>1</v>
      </c>
      <c r="M43">
        <v>0</v>
      </c>
      <c r="N43">
        <f>IFERROR(VLOOKUP(B43, [3]Sheet1!A:B, 2, FALSE), "")</f>
        <v>21</v>
      </c>
      <c r="O43">
        <f>IFERROR(VLOOKUP(C43, [3]Sheet1!A:B, 2, FALSE), "")</f>
        <v>13</v>
      </c>
    </row>
    <row r="44" spans="1:15" ht="22.2" customHeight="1">
      <c r="A44" t="s">
        <v>85</v>
      </c>
      <c r="B44" t="s">
        <v>86</v>
      </c>
      <c r="C44" t="s">
        <v>87</v>
      </c>
      <c r="D44">
        <f>VLOOKUP(B44, [1]Sheet1!A:B, 2, FALSE)</f>
        <v>28</v>
      </c>
      <c r="E44">
        <f>VLOOKUP(C44, [1]Sheet1!A:B, 2, FALSE)</f>
        <v>31</v>
      </c>
      <c r="F44">
        <f>IFERROR(VLOOKUP(B44, [2]Sheet1!A:C, 2, FALSE), 0)</f>
        <v>0</v>
      </c>
      <c r="G44">
        <f>IFERROR(VLOOKUP(B44, [2]Sheet1!A:C, 3, FALSE), 0)</f>
        <v>0</v>
      </c>
      <c r="H44">
        <f>IFERROR(VLOOKUP(C44, [2]Sheet1!A:C, 2, FALSE), 0)</f>
        <v>0</v>
      </c>
      <c r="I44">
        <f>IFERROR(VLOOKUP(C44, [2]Sheet1!A:C, 3, FALSE), 0)</f>
        <v>0</v>
      </c>
      <c r="M44">
        <v>1</v>
      </c>
      <c r="N44">
        <f>IFERROR(VLOOKUP(B44, [3]Sheet1!A:B, 2, FALSE), "")</f>
        <v>23</v>
      </c>
      <c r="O44">
        <f>IFERROR(VLOOKUP(C44, [3]Sheet1!A:B, 2, FALSE), "")</f>
        <v>27</v>
      </c>
    </row>
    <row r="45" spans="1:15" ht="22.2" customHeight="1">
      <c r="A45" t="s">
        <v>88</v>
      </c>
      <c r="B45" t="s">
        <v>83</v>
      </c>
      <c r="C45" t="s">
        <v>86</v>
      </c>
      <c r="D45">
        <f>VLOOKUP(B45, [1]Sheet1!A:B, 2, FALSE)</f>
        <v>32</v>
      </c>
      <c r="E45">
        <f>VLOOKUP(C45, [1]Sheet1!A:B, 2, FALSE)</f>
        <v>28</v>
      </c>
      <c r="F45">
        <f>IFERROR(VLOOKUP(B45, [2]Sheet1!A:C, 2, FALSE), 0)</f>
        <v>0</v>
      </c>
      <c r="G45">
        <f>IFERROR(VLOOKUP(B45, [2]Sheet1!A:C, 3, FALSE), 0)</f>
        <v>0</v>
      </c>
      <c r="H45">
        <f>IFERROR(VLOOKUP(C45, [2]Sheet1!A:C, 2, FALSE), 0)</f>
        <v>0</v>
      </c>
      <c r="I45">
        <f>IFERROR(VLOOKUP(C45, [2]Sheet1!A:C, 3, FALSE), 0)</f>
        <v>0</v>
      </c>
      <c r="M45">
        <v>1</v>
      </c>
      <c r="N45">
        <f>IFERROR(VLOOKUP(B45, [3]Sheet1!A:B, 2, FALSE), "")</f>
        <v>21</v>
      </c>
      <c r="O45">
        <f>IFERROR(VLOOKUP(C45, [3]Sheet1!A:B, 2, FALSE), "")</f>
        <v>23</v>
      </c>
    </row>
    <row r="46" spans="1:15" ht="22.2" customHeight="1">
      <c r="A46" t="s">
        <v>89</v>
      </c>
      <c r="B46" t="s">
        <v>87</v>
      </c>
      <c r="C46" t="s">
        <v>84</v>
      </c>
      <c r="D46">
        <f>VLOOKUP(B46, [1]Sheet1!A:B, 2, FALSE)</f>
        <v>31</v>
      </c>
      <c r="E46">
        <f>VLOOKUP(C46, [1]Sheet1!A:B, 2, FALSE)</f>
        <v>23</v>
      </c>
      <c r="F46">
        <f>IFERROR(VLOOKUP(B46, [2]Sheet1!A:C, 2, FALSE), 0)</f>
        <v>0</v>
      </c>
      <c r="G46">
        <f>IFERROR(VLOOKUP(B46, [2]Sheet1!A:C, 3, FALSE), 0)</f>
        <v>0</v>
      </c>
      <c r="H46">
        <f>IFERROR(VLOOKUP(C46, [2]Sheet1!A:C, 2, FALSE), 0)</f>
        <v>0</v>
      </c>
      <c r="I46">
        <f>IFERROR(VLOOKUP(C46, [2]Sheet1!A:C, 3, FALSE), 0)</f>
        <v>1</v>
      </c>
      <c r="M46">
        <v>0</v>
      </c>
      <c r="N46">
        <f>IFERROR(VLOOKUP(B46, [3]Sheet1!A:B, 2, FALSE), "")</f>
        <v>27</v>
      </c>
      <c r="O46">
        <f>IFERROR(VLOOKUP(C46, [3]Sheet1!A:B, 2, FALSE), "")</f>
        <v>13</v>
      </c>
    </row>
    <row r="47" spans="1:15" ht="22.2" customHeight="1">
      <c r="A47" t="s">
        <v>90</v>
      </c>
      <c r="B47" t="s">
        <v>87</v>
      </c>
      <c r="C47" t="s">
        <v>83</v>
      </c>
      <c r="D47">
        <f>VLOOKUP(B47, [1]Sheet1!A:B, 2, FALSE)</f>
        <v>31</v>
      </c>
      <c r="E47">
        <f>VLOOKUP(C47, [1]Sheet1!A:B, 2, FALSE)</f>
        <v>32</v>
      </c>
      <c r="F47">
        <f>IFERROR(VLOOKUP(B47, [2]Sheet1!A:C, 2, FALSE), 0)</f>
        <v>0</v>
      </c>
      <c r="G47">
        <f>IFERROR(VLOOKUP(B47, [2]Sheet1!A:C, 3, FALSE), 0)</f>
        <v>0</v>
      </c>
      <c r="H47">
        <f>IFERROR(VLOOKUP(C47, [2]Sheet1!A:C, 2, FALSE), 0)</f>
        <v>0</v>
      </c>
      <c r="I47">
        <f>IFERROR(VLOOKUP(C47, [2]Sheet1!A:C, 3, FALSE), 0)</f>
        <v>0</v>
      </c>
      <c r="M47">
        <v>-1</v>
      </c>
      <c r="N47">
        <f>IFERROR(VLOOKUP(B47, [3]Sheet1!A:B, 2, FALSE), "")</f>
        <v>27</v>
      </c>
      <c r="O47">
        <f>IFERROR(VLOOKUP(C47, [3]Sheet1!A:B, 2, FALSE), "")</f>
        <v>21</v>
      </c>
    </row>
    <row r="48" spans="1:15" ht="22.2" customHeight="1">
      <c r="A48" t="s">
        <v>91</v>
      </c>
      <c r="B48" t="s">
        <v>84</v>
      </c>
      <c r="C48" t="s">
        <v>86</v>
      </c>
      <c r="D48">
        <f>VLOOKUP(B48, [1]Sheet1!A:B, 2, FALSE)</f>
        <v>23</v>
      </c>
      <c r="E48">
        <f>VLOOKUP(C48, [1]Sheet1!A:B, 2, FALSE)</f>
        <v>28</v>
      </c>
      <c r="F48">
        <f>IFERROR(VLOOKUP(B48, [2]Sheet1!A:C, 2, FALSE), 0)</f>
        <v>0</v>
      </c>
      <c r="G48">
        <f>IFERROR(VLOOKUP(B48, [2]Sheet1!A:C, 3, FALSE), 0)</f>
        <v>1</v>
      </c>
      <c r="H48">
        <f>IFERROR(VLOOKUP(C48, [2]Sheet1!A:C, 2, FALSE), 0)</f>
        <v>0</v>
      </c>
      <c r="I48">
        <f>IFERROR(VLOOKUP(C48, [2]Sheet1!A:C, 3, FALSE), 0)</f>
        <v>0</v>
      </c>
      <c r="M48">
        <v>1</v>
      </c>
      <c r="N48">
        <f>IFERROR(VLOOKUP(B48, [3]Sheet1!A:B, 2, FALSE), "")</f>
        <v>13</v>
      </c>
      <c r="O48">
        <f>IFERROR(VLOOKUP(C48, [3]Sheet1!A:B, 2, FALSE), "")</f>
        <v>23</v>
      </c>
    </row>
    <row r="49" spans="1:15" ht="22.2" customHeight="1">
      <c r="A49" t="s">
        <v>92</v>
      </c>
      <c r="B49" t="s">
        <v>56</v>
      </c>
      <c r="C49" t="s">
        <v>19</v>
      </c>
      <c r="D49">
        <f>VLOOKUP(B49, [1]Sheet1!A:B, 2, FALSE)</f>
        <v>11</v>
      </c>
      <c r="E49">
        <f>VLOOKUP(C49, [1]Sheet1!A:B, 2, FALSE)</f>
        <v>18</v>
      </c>
      <c r="F49">
        <f>IFERROR(VLOOKUP(B49, [2]Sheet1!A:C, 2, FALSE), 0)</f>
        <v>1</v>
      </c>
      <c r="G49">
        <f>IFERROR(VLOOKUP(B49, [2]Sheet1!A:C, 3, FALSE), 0)</f>
        <v>3</v>
      </c>
      <c r="H49">
        <f>IFERROR(VLOOKUP(C49, [2]Sheet1!A:C, 2, FALSE), 0)</f>
        <v>0</v>
      </c>
      <c r="I49">
        <f>IFERROR(VLOOKUP(C49, [2]Sheet1!A:C, 3, FALSE), 0)</f>
        <v>0</v>
      </c>
      <c r="M49">
        <v>1</v>
      </c>
      <c r="N49">
        <f>IFERROR(VLOOKUP(B49, [3]Sheet1!A:B, 2, FALSE), "")</f>
        <v>1</v>
      </c>
      <c r="O49">
        <f>IFERROR(VLOOKUP(C49, [3]Sheet1!A:B, 2, FALSE), "")</f>
        <v>24</v>
      </c>
    </row>
    <row r="50" spans="1:15" ht="22.2" customHeight="1">
      <c r="A50" t="s">
        <v>93</v>
      </c>
      <c r="B50" t="s">
        <v>74</v>
      </c>
      <c r="C50" t="s">
        <v>45</v>
      </c>
      <c r="D50">
        <f>VLOOKUP(B50, [1]Sheet1!A:B, 2, FALSE)</f>
        <v>7</v>
      </c>
      <c r="E50">
        <f>VLOOKUP(C50, [1]Sheet1!A:B, 2, FALSE)</f>
        <v>13</v>
      </c>
      <c r="F50">
        <f>IFERROR(VLOOKUP(B50, [2]Sheet1!A:C, 2, FALSE), 0)</f>
        <v>0</v>
      </c>
      <c r="G50">
        <f>IFERROR(VLOOKUP(B50, [2]Sheet1!A:C, 3, FALSE), 0)</f>
        <v>2</v>
      </c>
      <c r="H50">
        <f>IFERROR(VLOOKUP(C50, [2]Sheet1!A:C, 2, FALSE), 0)</f>
        <v>0</v>
      </c>
      <c r="I50">
        <f>IFERROR(VLOOKUP(C50, [2]Sheet1!A:C, 3, FALSE), 0)</f>
        <v>0</v>
      </c>
      <c r="M50">
        <v>-1</v>
      </c>
      <c r="N50">
        <f>IFERROR(VLOOKUP(B50, [3]Sheet1!A:B, 2, FALSE), "")</f>
        <v>18</v>
      </c>
      <c r="O50">
        <f>IFERROR(VLOOKUP(C50, [3]Sheet1!A:B, 2, FALSE), "")</f>
        <v>15</v>
      </c>
    </row>
    <row r="51" spans="1:15" ht="22.2" customHeight="1">
      <c r="A51" t="s">
        <v>94</v>
      </c>
      <c r="B51" t="s">
        <v>22</v>
      </c>
      <c r="C51" t="s">
        <v>53</v>
      </c>
      <c r="D51">
        <f>VLOOKUP(B51, [1]Sheet1!A:B, 2, FALSE)</f>
        <v>8</v>
      </c>
      <c r="E51">
        <f>VLOOKUP(C51, [1]Sheet1!A:B, 2, FALSE)</f>
        <v>15</v>
      </c>
      <c r="F51">
        <f>IFERROR(VLOOKUP(B51, [2]Sheet1!A:C, 2, FALSE), 0)</f>
        <v>1</v>
      </c>
      <c r="G51">
        <f>IFERROR(VLOOKUP(B51, [2]Sheet1!A:C, 3, FALSE), 0)</f>
        <v>4</v>
      </c>
      <c r="H51">
        <f>IFERROR(VLOOKUP(C51, [2]Sheet1!A:C, 2, FALSE), 0)</f>
        <v>0</v>
      </c>
      <c r="I51">
        <f>IFERROR(VLOOKUP(C51, [2]Sheet1!A:C, 3, FALSE), 0)</f>
        <v>0</v>
      </c>
      <c r="M51">
        <v>0</v>
      </c>
      <c r="N51">
        <f>IFERROR(VLOOKUP(B51, [3]Sheet1!A:B, 2, FALSE), "")</f>
        <v>6</v>
      </c>
      <c r="O51">
        <f>IFERROR(VLOOKUP(C51, [3]Sheet1!A:B, 2, FALSE), "")</f>
        <v>22</v>
      </c>
    </row>
    <row r="52" spans="1:15" ht="22.2" customHeight="1">
      <c r="A52" t="s">
        <v>95</v>
      </c>
      <c r="B52" t="s">
        <v>39</v>
      </c>
      <c r="C52" t="s">
        <v>76</v>
      </c>
      <c r="D52">
        <f>VLOOKUP(B52, [1]Sheet1!A:B, 2, FALSE)</f>
        <v>40</v>
      </c>
      <c r="E52">
        <f>VLOOKUP(C52, [1]Sheet1!A:B, 2, FALSE)</f>
        <v>6</v>
      </c>
      <c r="F52">
        <f>IFERROR(VLOOKUP(B52, [2]Sheet1!A:C, 2, FALSE), 0)</f>
        <v>0</v>
      </c>
      <c r="G52">
        <f>IFERROR(VLOOKUP(B52, [2]Sheet1!A:C, 3, FALSE), 0)</f>
        <v>0</v>
      </c>
      <c r="H52">
        <f>IFERROR(VLOOKUP(C52, [2]Sheet1!A:C, 2, FALSE), 0)</f>
        <v>2</v>
      </c>
      <c r="I52">
        <f>IFERROR(VLOOKUP(C52, [2]Sheet1!A:C, 3, FALSE), 0)</f>
        <v>5</v>
      </c>
      <c r="M52">
        <v>1</v>
      </c>
      <c r="N52">
        <f>IFERROR(VLOOKUP(B52, [3]Sheet1!A:B, 2, FALSE), "")</f>
        <v>20</v>
      </c>
      <c r="O52">
        <f>IFERROR(VLOOKUP(C52, [3]Sheet1!A:B, 2, FALSE), "")</f>
        <v>2</v>
      </c>
    </row>
    <row r="53" spans="1:15" ht="22.2" customHeight="1">
      <c r="A53" t="s">
        <v>96</v>
      </c>
      <c r="B53" t="s">
        <v>12</v>
      </c>
      <c r="C53" t="s">
        <v>66</v>
      </c>
      <c r="D53">
        <f>VLOOKUP(B53, [1]Sheet1!A:B, 2, FALSE)</f>
        <v>20</v>
      </c>
      <c r="E53">
        <f>VLOOKUP(C53, [1]Sheet1!A:B, 2, FALSE)</f>
        <v>12</v>
      </c>
      <c r="F53">
        <f>IFERROR(VLOOKUP(B53, [2]Sheet1!A:C, 2, FALSE), 0)</f>
        <v>0</v>
      </c>
      <c r="G53">
        <f>IFERROR(VLOOKUP(B53, [2]Sheet1!A:C, 3, FALSE), 0)</f>
        <v>2</v>
      </c>
      <c r="H53">
        <f>IFERROR(VLOOKUP(C53, [2]Sheet1!A:C, 2, FALSE), 0)</f>
        <v>1</v>
      </c>
      <c r="I53">
        <f>IFERROR(VLOOKUP(C53, [2]Sheet1!A:C, 3, FALSE), 0)</f>
        <v>4</v>
      </c>
      <c r="M53">
        <v>-1</v>
      </c>
      <c r="N53">
        <f>IFERROR(VLOOKUP(B53, [3]Sheet1!A:B, 2, FALSE), "")</f>
        <v>9</v>
      </c>
      <c r="O53">
        <f>IFERROR(VLOOKUP(C53, [3]Sheet1!A:B, 2, FALSE), "")</f>
        <v>4</v>
      </c>
    </row>
    <row r="54" spans="1:15" ht="22.2" customHeight="1">
      <c r="A54" t="s">
        <v>97</v>
      </c>
      <c r="B54" t="s">
        <v>29</v>
      </c>
      <c r="C54" t="s">
        <v>84</v>
      </c>
      <c r="D54">
        <f>VLOOKUP(B54, [1]Sheet1!A:B, 2, FALSE)</f>
        <v>2</v>
      </c>
      <c r="E54">
        <f>VLOOKUP(C54, [1]Sheet1!A:B, 2, FALSE)</f>
        <v>23</v>
      </c>
      <c r="F54">
        <f>IFERROR(VLOOKUP(B54, [2]Sheet1!A:C, 2, FALSE), 0)</f>
        <v>3</v>
      </c>
      <c r="G54">
        <f>IFERROR(VLOOKUP(B54, [2]Sheet1!A:C, 3, FALSE), 0)</f>
        <v>7</v>
      </c>
      <c r="H54">
        <f>IFERROR(VLOOKUP(C54, [2]Sheet1!A:C, 2, FALSE), 0)</f>
        <v>0</v>
      </c>
      <c r="I54">
        <f>IFERROR(VLOOKUP(C54, [2]Sheet1!A:C, 3, FALSE), 0)</f>
        <v>1</v>
      </c>
      <c r="M54">
        <v>1</v>
      </c>
      <c r="N54">
        <f>IFERROR(VLOOKUP(B54, [3]Sheet1!A:B, 2, FALSE), "")</f>
        <v>5</v>
      </c>
      <c r="O54">
        <f>IFERROR(VLOOKUP(C54, [3]Sheet1!A:B, 2, FALSE), "")</f>
        <v>13</v>
      </c>
    </row>
    <row r="55" spans="1:15" ht="22.2" customHeight="1">
      <c r="A55" t="s">
        <v>98</v>
      </c>
      <c r="B55" t="s">
        <v>67</v>
      </c>
      <c r="C55" t="s">
        <v>10</v>
      </c>
      <c r="D55">
        <f>VLOOKUP(B55, [1]Sheet1!A:B, 2, FALSE)</f>
        <v>19</v>
      </c>
      <c r="E55">
        <f>VLOOKUP(C55, [1]Sheet1!A:B, 2, FALSE)</f>
        <v>42</v>
      </c>
      <c r="F55">
        <f>IFERROR(VLOOKUP(B55, [2]Sheet1!A:C, 2, FALSE), 0)</f>
        <v>0</v>
      </c>
      <c r="G55">
        <f>IFERROR(VLOOKUP(B55, [2]Sheet1!A:C, 3, FALSE), 0)</f>
        <v>1</v>
      </c>
      <c r="H55">
        <f>IFERROR(VLOOKUP(C55, [2]Sheet1!A:C, 2, FALSE), 0)</f>
        <v>0</v>
      </c>
      <c r="I55">
        <f>IFERROR(VLOOKUP(C55, [2]Sheet1!A:C, 3, FALSE), 0)</f>
        <v>2</v>
      </c>
      <c r="M55">
        <v>-1</v>
      </c>
      <c r="N55">
        <f>IFERROR(VLOOKUP(B55, [3]Sheet1!A:B, 2, FALSE), "")</f>
        <v>11</v>
      </c>
      <c r="O55">
        <f>IFERROR(VLOOKUP(C55, [3]Sheet1!A:B, 2, FALSE), "")</f>
        <v>19</v>
      </c>
    </row>
    <row r="56" spans="1:15" ht="22.2" customHeight="1">
      <c r="A56" t="s">
        <v>99</v>
      </c>
      <c r="B56" t="s">
        <v>83</v>
      </c>
      <c r="C56" t="s">
        <v>30</v>
      </c>
      <c r="D56">
        <f>VLOOKUP(B56, [1]Sheet1!A:B, 2, FALSE)</f>
        <v>32</v>
      </c>
      <c r="E56">
        <f>VLOOKUP(C56, [1]Sheet1!A:B, 2, FALSE)</f>
        <v>22</v>
      </c>
      <c r="F56">
        <f>IFERROR(VLOOKUP(B56, [2]Sheet1!A:C, 2, FALSE), 0)</f>
        <v>0</v>
      </c>
      <c r="G56">
        <f>IFERROR(VLOOKUP(B56, [2]Sheet1!A:C, 3, FALSE), 0)</f>
        <v>0</v>
      </c>
      <c r="H56">
        <f>IFERROR(VLOOKUP(C56, [2]Sheet1!A:C, 2, FALSE), 0)</f>
        <v>0</v>
      </c>
      <c r="I56">
        <f>IFERROR(VLOOKUP(C56, [2]Sheet1!A:C, 3, FALSE), 0)</f>
        <v>2</v>
      </c>
      <c r="M56">
        <v>-1</v>
      </c>
      <c r="N56">
        <f>IFERROR(VLOOKUP(B56, [3]Sheet1!A:B, 2, FALSE), "")</f>
        <v>21</v>
      </c>
      <c r="O56">
        <f>IFERROR(VLOOKUP(C56, [3]Sheet1!A:B, 2, FALSE), "")</f>
        <v>10</v>
      </c>
    </row>
    <row r="57" spans="1:15" ht="22.2" customHeight="1">
      <c r="A57" t="s">
        <v>100</v>
      </c>
      <c r="B57" t="s">
        <v>56</v>
      </c>
      <c r="C57" t="s">
        <v>45</v>
      </c>
      <c r="D57">
        <f>VLOOKUP(B57, [1]Sheet1!A:B, 2, FALSE)</f>
        <v>11</v>
      </c>
      <c r="E57">
        <f>VLOOKUP(C57, [1]Sheet1!A:B, 2, FALSE)</f>
        <v>13</v>
      </c>
      <c r="F57">
        <f>IFERROR(VLOOKUP(B57, [2]Sheet1!A:C, 2, FALSE), 0)</f>
        <v>1</v>
      </c>
      <c r="G57">
        <f>IFERROR(VLOOKUP(B57, [2]Sheet1!A:C, 3, FALSE), 0)</f>
        <v>3</v>
      </c>
      <c r="H57">
        <f>IFERROR(VLOOKUP(C57, [2]Sheet1!A:C, 2, FALSE), 0)</f>
        <v>0</v>
      </c>
      <c r="I57">
        <f>IFERROR(VLOOKUP(C57, [2]Sheet1!A:C, 3, FALSE), 0)</f>
        <v>0</v>
      </c>
      <c r="M57">
        <v>1</v>
      </c>
      <c r="N57">
        <f>IFERROR(VLOOKUP(B57, [3]Sheet1!A:B, 2, FALSE), "")</f>
        <v>1</v>
      </c>
      <c r="O57">
        <f>IFERROR(VLOOKUP(C57, [3]Sheet1!A:B, 2, FALSE), "")</f>
        <v>15</v>
      </c>
    </row>
    <row r="58" spans="1:15" ht="22.2" customHeight="1">
      <c r="A58" t="s">
        <v>101</v>
      </c>
      <c r="B58" t="s">
        <v>22</v>
      </c>
      <c r="C58" t="s">
        <v>39</v>
      </c>
      <c r="D58">
        <f>VLOOKUP(B58, [1]Sheet1!A:B, 2, FALSE)</f>
        <v>8</v>
      </c>
      <c r="E58">
        <f>VLOOKUP(C58, [1]Sheet1!A:B, 2, FALSE)</f>
        <v>40</v>
      </c>
      <c r="F58">
        <f>IFERROR(VLOOKUP(B58, [2]Sheet1!A:C, 2, FALSE), 0)</f>
        <v>1</v>
      </c>
      <c r="G58">
        <f>IFERROR(VLOOKUP(B58, [2]Sheet1!A:C, 3, FALSE), 0)</f>
        <v>4</v>
      </c>
      <c r="H58">
        <f>IFERROR(VLOOKUP(C58, [2]Sheet1!A:C, 2, FALSE), 0)</f>
        <v>0</v>
      </c>
      <c r="I58">
        <f>IFERROR(VLOOKUP(C58, [2]Sheet1!A:C, 3, FALSE), 0)</f>
        <v>0</v>
      </c>
      <c r="M58">
        <v>0</v>
      </c>
      <c r="N58">
        <f>IFERROR(VLOOKUP(B58, [3]Sheet1!A:B, 2, FALSE), "")</f>
        <v>6</v>
      </c>
      <c r="O58">
        <f>IFERROR(VLOOKUP(C58, [3]Sheet1!A:B, 2, FALSE), "")</f>
        <v>20</v>
      </c>
    </row>
    <row r="59" spans="1:15" ht="22.2" customHeight="1">
      <c r="A59" t="s">
        <v>102</v>
      </c>
      <c r="B59" t="s">
        <v>66</v>
      </c>
      <c r="C59" t="s">
        <v>29</v>
      </c>
      <c r="D59">
        <f>VLOOKUP(B59, [1]Sheet1!A:B, 2, FALSE)</f>
        <v>12</v>
      </c>
      <c r="E59">
        <f>VLOOKUP(C59, [1]Sheet1!A:B, 2, FALSE)</f>
        <v>2</v>
      </c>
      <c r="F59">
        <f>IFERROR(VLOOKUP(B59, [2]Sheet1!A:C, 2, FALSE), 0)</f>
        <v>1</v>
      </c>
      <c r="G59">
        <f>IFERROR(VLOOKUP(B59, [2]Sheet1!A:C, 3, FALSE), 0)</f>
        <v>4</v>
      </c>
      <c r="H59">
        <f>IFERROR(VLOOKUP(C59, [2]Sheet1!A:C, 2, FALSE), 0)</f>
        <v>3</v>
      </c>
      <c r="I59">
        <f>IFERROR(VLOOKUP(C59, [2]Sheet1!A:C, 3, FALSE), 0)</f>
        <v>7</v>
      </c>
      <c r="M59">
        <v>-1</v>
      </c>
      <c r="N59">
        <f>IFERROR(VLOOKUP(B59, [3]Sheet1!A:B, 2, FALSE), "")</f>
        <v>4</v>
      </c>
      <c r="O59">
        <f>IFERROR(VLOOKUP(C59, [3]Sheet1!A:B, 2, FALSE), "")</f>
        <v>5</v>
      </c>
    </row>
    <row r="60" spans="1:15" ht="22.2" customHeight="1">
      <c r="A60" t="s">
        <v>103</v>
      </c>
      <c r="B60" t="s">
        <v>10</v>
      </c>
      <c r="C60" t="s">
        <v>30</v>
      </c>
      <c r="D60">
        <f>VLOOKUP(B60, [1]Sheet1!A:B, 2, FALSE)</f>
        <v>42</v>
      </c>
      <c r="E60">
        <f>VLOOKUP(C60, [1]Sheet1!A:B, 2, FALSE)</f>
        <v>22</v>
      </c>
      <c r="F60">
        <f>IFERROR(VLOOKUP(B60, [2]Sheet1!A:C, 2, FALSE), 0)</f>
        <v>0</v>
      </c>
      <c r="G60">
        <f>IFERROR(VLOOKUP(B60, [2]Sheet1!A:C, 3, FALSE), 0)</f>
        <v>2</v>
      </c>
      <c r="H60">
        <f>IFERROR(VLOOKUP(C60, [2]Sheet1!A:C, 2, FALSE), 0)</f>
        <v>0</v>
      </c>
      <c r="I60">
        <f>IFERROR(VLOOKUP(C60, [2]Sheet1!A:C, 3, FALSE), 0)</f>
        <v>2</v>
      </c>
      <c r="M60">
        <v>-1</v>
      </c>
      <c r="N60">
        <f>IFERROR(VLOOKUP(B60, [3]Sheet1!A:B, 2, FALSE), "")</f>
        <v>19</v>
      </c>
      <c r="O60">
        <f>IFERROR(VLOOKUP(C60, [3]Sheet1!A:B, 2, FALSE), "")</f>
        <v>10</v>
      </c>
    </row>
    <row r="61" spans="1:15" ht="22.2" customHeight="1">
      <c r="A61" t="s">
        <v>104</v>
      </c>
      <c r="B61" t="s">
        <v>56</v>
      </c>
      <c r="C61" t="s">
        <v>39</v>
      </c>
      <c r="D61">
        <f>VLOOKUP(B61, [1]Sheet1!A:B, 2, FALSE)</f>
        <v>11</v>
      </c>
      <c r="E61">
        <f>VLOOKUP(C61, [1]Sheet1!A:B, 2, FALSE)</f>
        <v>40</v>
      </c>
      <c r="F61">
        <f>IFERROR(VLOOKUP(B61, [2]Sheet1!A:C, 2, FALSE), 0)</f>
        <v>1</v>
      </c>
      <c r="G61">
        <f>IFERROR(VLOOKUP(B61, [2]Sheet1!A:C, 3, FALSE), 0)</f>
        <v>3</v>
      </c>
      <c r="H61">
        <f>IFERROR(VLOOKUP(C61, [2]Sheet1!A:C, 2, FALSE), 0)</f>
        <v>0</v>
      </c>
      <c r="I61">
        <f>IFERROR(VLOOKUP(C61, [2]Sheet1!A:C, 3, FALSE), 0)</f>
        <v>0</v>
      </c>
      <c r="M61">
        <v>1</v>
      </c>
      <c r="N61">
        <f>IFERROR(VLOOKUP(B61, [3]Sheet1!A:B, 2, FALSE), "")</f>
        <v>1</v>
      </c>
      <c r="O61">
        <f>IFERROR(VLOOKUP(C61, [3]Sheet1!A:B, 2, FALSE), "")</f>
        <v>20</v>
      </c>
    </row>
    <row r="62" spans="1:15" ht="22.2" customHeight="1">
      <c r="A62" t="s">
        <v>28</v>
      </c>
      <c r="B62" t="s">
        <v>29</v>
      </c>
      <c r="C62" t="s">
        <v>30</v>
      </c>
      <c r="D62">
        <f>VLOOKUP(B62, [1]Sheet1!A:B, 2, FALSE)</f>
        <v>2</v>
      </c>
      <c r="E62">
        <f>VLOOKUP(C62, [1]Sheet1!A:B, 2, FALSE)</f>
        <v>22</v>
      </c>
      <c r="F62">
        <f>IFERROR(VLOOKUP(B62, [2]Sheet1!A:C, 2, FALSE), 0)</f>
        <v>3</v>
      </c>
      <c r="G62">
        <f>IFERROR(VLOOKUP(B62, [2]Sheet1!A:C, 3, FALSE), 0)</f>
        <v>7</v>
      </c>
      <c r="H62">
        <f>IFERROR(VLOOKUP(C62, [2]Sheet1!A:C, 2, FALSE), 0)</f>
        <v>0</v>
      </c>
      <c r="I62">
        <f>IFERROR(VLOOKUP(C62, [2]Sheet1!A:C, 3, FALSE), 0)</f>
        <v>2</v>
      </c>
      <c r="M62">
        <v>1</v>
      </c>
      <c r="N62">
        <f>IFERROR(VLOOKUP(B62, [3]Sheet1!A:B, 2, FALSE), "")</f>
        <v>5</v>
      </c>
      <c r="O62">
        <f>IFERROR(VLOOKUP(C62, [3]Sheet1!A:B, 2, FALSE), "")</f>
        <v>10</v>
      </c>
    </row>
    <row r="63" spans="1:15" ht="22.2" customHeight="1">
      <c r="A63" t="s">
        <v>105</v>
      </c>
      <c r="B63" t="s">
        <v>56</v>
      </c>
      <c r="C63" t="s">
        <v>29</v>
      </c>
      <c r="D63">
        <f>VLOOKUP(B63, [1]Sheet1!A:B, 2, FALSE)</f>
        <v>11</v>
      </c>
      <c r="E63">
        <f>VLOOKUP(C63, [1]Sheet1!A:B, 2, FALSE)</f>
        <v>2</v>
      </c>
      <c r="F63">
        <f>IFERROR(VLOOKUP(B63, [2]Sheet1!A:C, 2, FALSE), 0)</f>
        <v>1</v>
      </c>
      <c r="G63">
        <f>IFERROR(VLOOKUP(B63, [2]Sheet1!A:C, 3, FALSE), 0)</f>
        <v>3</v>
      </c>
      <c r="H63">
        <f>IFERROR(VLOOKUP(C63, [2]Sheet1!A:C, 2, FALSE), 0)</f>
        <v>3</v>
      </c>
      <c r="I63">
        <f>IFERROR(VLOOKUP(C63, [2]Sheet1!A:C, 3, FALSE), 0)</f>
        <v>7</v>
      </c>
      <c r="M63">
        <v>-1</v>
      </c>
      <c r="N63">
        <f>IFERROR(VLOOKUP(B63, [3]Sheet1!A:B, 2, FALSE), "")</f>
        <v>1</v>
      </c>
      <c r="O63">
        <f>IFERROR(VLOOKUP(C63, [3]Sheet1!A:B, 2, FALSE), "")</f>
        <v>5</v>
      </c>
    </row>
    <row r="64" spans="1:15" ht="22.2" customHeight="1">
      <c r="A64" t="s">
        <v>106</v>
      </c>
      <c r="B64" t="s">
        <v>39</v>
      </c>
      <c r="C64" t="s">
        <v>30</v>
      </c>
      <c r="D64">
        <f>VLOOKUP(B64, [1]Sheet1!A:B, 2, FALSE)</f>
        <v>40</v>
      </c>
      <c r="E64">
        <f>VLOOKUP(C64, [1]Sheet1!A:B, 2, FALSE)</f>
        <v>22</v>
      </c>
      <c r="F64">
        <f>IFERROR(VLOOKUP(B64, [2]Sheet1!A:C, 2, FALSE), 0)</f>
        <v>0</v>
      </c>
      <c r="G64">
        <f>IFERROR(VLOOKUP(B64, [2]Sheet1!A:D, 3, FALSE), 0)</f>
        <v>0</v>
      </c>
      <c r="H64">
        <f>IFERROR(VLOOKUP(C64, [2]Sheet1!A:C, 2, FALSE), 0)</f>
        <v>0</v>
      </c>
      <c r="I64">
        <f>IFERROR(VLOOKUP(C64, [2]Sheet1!A:C, 3, FALSE), 0)</f>
        <v>2</v>
      </c>
      <c r="M64">
        <v>-1</v>
      </c>
      <c r="N64">
        <f>IFERROR(VLOOKUP(B64, [3]Sheet1!A:B, 2, FALSE), "")</f>
        <v>20</v>
      </c>
      <c r="O64">
        <f>IFERROR(VLOOKUP(C64, [3]Sheet1!A:B, 2, FALSE), "")</f>
        <v>10</v>
      </c>
    </row>
    <row r="65" spans="1:15" ht="22.2" customHeight="1">
      <c r="A65" t="s">
        <v>107</v>
      </c>
      <c r="B65" t="s">
        <v>56</v>
      </c>
      <c r="C65" t="s">
        <v>33</v>
      </c>
      <c r="D65">
        <f>VLOOKUP(B65, [1]Sheet1!A:B, 2, FALSE)</f>
        <v>19</v>
      </c>
      <c r="E65">
        <f>VLOOKUP(C65, [1]Sheet1!A:B, 2, FALSE)</f>
        <v>25</v>
      </c>
      <c r="F65">
        <f>IFERROR(VLOOKUP(B65, [2]Sheet1!A:C, 2, FALSE), 0)</f>
        <v>4</v>
      </c>
      <c r="G65">
        <f>IFERROR(VLOOKUP(B65, [2]Sheet1!A:D, 3, FALSE), 0)</f>
        <v>5</v>
      </c>
      <c r="H65">
        <f>IFERROR(VLOOKUP(C65, [2]Sheet1!A:C, 2, FALSE), 0)</f>
        <v>0</v>
      </c>
      <c r="I65">
        <f>IFERROR(VLOOKUP(C65, [2]Sheet1!A:C, 3, FALSE), 0)</f>
        <v>0</v>
      </c>
      <c r="M65">
        <v>1</v>
      </c>
      <c r="N65">
        <f>IFERROR(VLOOKUP(B65, [4]Sheet1!A:B, 2, FALSE), "")</f>
        <v>2</v>
      </c>
      <c r="O65">
        <f>IFERROR(VLOOKUP(C65, [4]Sheet1!A:B, 2, FALSE), "No Data")</f>
        <v>28</v>
      </c>
    </row>
    <row r="66" spans="1:15" ht="22.2" customHeight="1">
      <c r="A66" t="s">
        <v>108</v>
      </c>
      <c r="B66" t="s">
        <v>40</v>
      </c>
      <c r="C66" t="s">
        <v>77</v>
      </c>
      <c r="D66">
        <f>VLOOKUP(B66, [1]Sheet1!A:B, 2, FALSE)</f>
        <v>29</v>
      </c>
      <c r="E66">
        <f>VLOOKUP(C66, [1]Sheet1!A:B, 2, FALSE)</f>
        <v>39</v>
      </c>
      <c r="F66">
        <f>IFERROR(VLOOKUP(B66, [2]Sheet1!A:C, 2, FALSE), 0)</f>
        <v>1</v>
      </c>
      <c r="G66">
        <f>IFERROR(VLOOKUP(B66, [2]Sheet1!A:D, 3, FALSE), 0)</f>
        <v>1</v>
      </c>
      <c r="H66">
        <f>IFERROR(VLOOKUP(C66, [2]Sheet1!A:C, 2, FALSE), 0)</f>
        <v>1</v>
      </c>
      <c r="I66">
        <f>IFERROR(VLOOKUP(C66, [2]Sheet1!A:C, 3, FALSE), 0)</f>
        <v>1</v>
      </c>
      <c r="M66">
        <v>-1</v>
      </c>
      <c r="N66">
        <f>IFERROR(VLOOKUP(B66, [4]Sheet1!A:B, 2, FALSE), "")</f>
        <v>16</v>
      </c>
      <c r="O66">
        <f>IFERROR(VLOOKUP(C66, [4]Sheet1!A:B, 2, FALSE), "No Data")</f>
        <v>23</v>
      </c>
    </row>
    <row r="67" spans="1:15" ht="22.2" customHeight="1">
      <c r="A67" t="s">
        <v>109</v>
      </c>
      <c r="B67" t="s">
        <v>56</v>
      </c>
      <c r="C67" t="s">
        <v>40</v>
      </c>
      <c r="D67">
        <f>VLOOKUP(B67, [1]Sheet1!A:B, 2, FALSE)</f>
        <v>19</v>
      </c>
      <c r="E67">
        <f>VLOOKUP(C67, [1]Sheet1!A:B, 2, FALSE)</f>
        <v>29</v>
      </c>
      <c r="F67">
        <f>IFERROR(VLOOKUP(B67, [2]Sheet1!A:C, 2, FALSE), 0)</f>
        <v>4</v>
      </c>
      <c r="G67">
        <f>IFERROR(VLOOKUP(B67, [2]Sheet1!A:D, 3, FALSE), 0)</f>
        <v>5</v>
      </c>
      <c r="H67">
        <f>IFERROR(VLOOKUP(C67, [2]Sheet1!A:C, 2, FALSE), 0)</f>
        <v>1</v>
      </c>
      <c r="I67">
        <f>IFERROR(VLOOKUP(C67, [2]Sheet1!A:C, 3, FALSE), 0)</f>
        <v>1</v>
      </c>
      <c r="M67">
        <v>1</v>
      </c>
      <c r="N67">
        <f>IFERROR(VLOOKUP(B67, [4]Sheet1!A:B, 2, FALSE), "")</f>
        <v>2</v>
      </c>
      <c r="O67">
        <f>IFERROR(VLOOKUP(C67, [4]Sheet1!A:B, 2, FALSE), "No Data")</f>
        <v>16</v>
      </c>
    </row>
    <row r="68" spans="1:15" ht="22.2" customHeight="1">
      <c r="A68" t="s">
        <v>110</v>
      </c>
      <c r="B68" t="s">
        <v>77</v>
      </c>
      <c r="C68" t="s">
        <v>33</v>
      </c>
      <c r="D68">
        <f>VLOOKUP(B68, [1]Sheet1!A:B, 2, FALSE)</f>
        <v>39</v>
      </c>
      <c r="E68">
        <f>VLOOKUP(C68, [1]Sheet1!A:B, 2, FALSE)</f>
        <v>25</v>
      </c>
      <c r="F68">
        <f>IFERROR(VLOOKUP(B68, [2]Sheet1!A:C, 2, FALSE), 0)</f>
        <v>1</v>
      </c>
      <c r="G68">
        <f>IFERROR(VLOOKUP(B68, [2]Sheet1!A:D, 3, FALSE), 0)</f>
        <v>1</v>
      </c>
      <c r="H68">
        <f>IFERROR(VLOOKUP(C68, [2]Sheet1!A:C, 2, FALSE), 0)</f>
        <v>0</v>
      </c>
      <c r="I68">
        <f>IFERROR(VLOOKUP(C68, [2]Sheet1!A:C, 3, FALSE), 0)</f>
        <v>0</v>
      </c>
      <c r="M68">
        <v>1</v>
      </c>
      <c r="N68">
        <f>IFERROR(VLOOKUP(B68, [4]Sheet1!A:B, 2, FALSE), "")</f>
        <v>23</v>
      </c>
      <c r="O68">
        <f>IFERROR(VLOOKUP(C68, [4]Sheet1!A:B, 2, FALSE), "No Data")</f>
        <v>28</v>
      </c>
    </row>
    <row r="69" spans="1:15" ht="22.2" customHeight="1">
      <c r="A69" t="s">
        <v>111</v>
      </c>
      <c r="B69" t="s">
        <v>77</v>
      </c>
      <c r="C69" t="s">
        <v>56</v>
      </c>
      <c r="D69">
        <f>VLOOKUP(B69, [1]Sheet1!A:B, 2, FALSE)</f>
        <v>39</v>
      </c>
      <c r="E69">
        <f>VLOOKUP(C69, [1]Sheet1!A:B, 2, FALSE)</f>
        <v>19</v>
      </c>
      <c r="F69">
        <f>IFERROR(VLOOKUP(B69, [2]Sheet1!A:C, 2, FALSE), 0)</f>
        <v>1</v>
      </c>
      <c r="G69">
        <f>IFERROR(VLOOKUP(B69, [2]Sheet1!A:D, 3, FALSE), 0)</f>
        <v>1</v>
      </c>
      <c r="H69">
        <f>IFERROR(VLOOKUP(C69, [2]Sheet1!A:C, 2, FALSE), 0)</f>
        <v>4</v>
      </c>
      <c r="I69">
        <f>IFERROR(VLOOKUP(C69, [2]Sheet1!A:C, 3, FALSE), 0)</f>
        <v>5</v>
      </c>
      <c r="M69">
        <v>-1</v>
      </c>
      <c r="N69">
        <f>IFERROR(VLOOKUP(B69, [4]Sheet1!A:B, 2, FALSE), "")</f>
        <v>23</v>
      </c>
      <c r="O69">
        <f>IFERROR(VLOOKUP(C69, [4]Sheet1!A:B, 2, FALSE), "No Data")</f>
        <v>2</v>
      </c>
    </row>
    <row r="70" spans="1:15" ht="22.2" customHeight="1">
      <c r="A70" t="s">
        <v>112</v>
      </c>
      <c r="B70" t="s">
        <v>33</v>
      </c>
      <c r="C70" t="s">
        <v>40</v>
      </c>
      <c r="D70">
        <f>VLOOKUP(B70, [1]Sheet1!A:B, 2, FALSE)</f>
        <v>25</v>
      </c>
      <c r="E70">
        <f>VLOOKUP(C70, [1]Sheet1!A:B, 2, FALSE)</f>
        <v>29</v>
      </c>
      <c r="F70">
        <f>IFERROR(VLOOKUP(B70, [2]Sheet1!A:C, 2, FALSE), 0)</f>
        <v>0</v>
      </c>
      <c r="G70">
        <f>IFERROR(VLOOKUP(B70, [2]Sheet1!A:D, 3, FALSE), 0)</f>
        <v>0</v>
      </c>
      <c r="H70">
        <f>IFERROR(VLOOKUP(C70, [2]Sheet1!A:C, 2, FALSE), 0)</f>
        <v>1</v>
      </c>
      <c r="I70">
        <f>IFERROR(VLOOKUP(C70, [2]Sheet1!A:C, 3, FALSE), 0)</f>
        <v>1</v>
      </c>
      <c r="M70">
        <v>-1</v>
      </c>
      <c r="N70">
        <f>IFERROR(VLOOKUP(B70, [4]Sheet1!A:B, 2, FALSE), "")</f>
        <v>28</v>
      </c>
      <c r="O70">
        <f>IFERROR(VLOOKUP(C70, [4]Sheet1!A:B, 2, FALSE), "No Data")</f>
        <v>16</v>
      </c>
    </row>
    <row r="71" spans="1:15" ht="22.2" customHeight="1">
      <c r="A71" t="s">
        <v>113</v>
      </c>
      <c r="B71" t="s">
        <v>66</v>
      </c>
      <c r="C71" t="s">
        <v>19</v>
      </c>
      <c r="D71">
        <f>VLOOKUP(B71, [1]Sheet1!A:B, 2, FALSE)</f>
        <v>10</v>
      </c>
      <c r="E71">
        <f>VLOOKUP(C71, [1]Sheet1!A:B, 2, FALSE)</f>
        <v>33</v>
      </c>
      <c r="F71">
        <f>IFERROR(VLOOKUP(B71, [2]Sheet1!A:C, 2, FALSE), 0)</f>
        <v>4</v>
      </c>
      <c r="G71">
        <f>IFERROR(VLOOKUP(B71, [2]Sheet1!A:D, 3, FALSE), 0)</f>
        <v>5</v>
      </c>
      <c r="H71">
        <f>IFERROR(VLOOKUP(C71, [2]Sheet1!A:C, 2, FALSE), 0)</f>
        <v>1</v>
      </c>
      <c r="I71">
        <f>IFERROR(VLOOKUP(C71, [2]Sheet1!A:C, 3, FALSE), 0)</f>
        <v>1</v>
      </c>
      <c r="M71">
        <v>1</v>
      </c>
      <c r="N71">
        <f>IFERROR(VLOOKUP(B71, [4]Sheet1!A:B, 2, FALSE), "")</f>
        <v>5</v>
      </c>
      <c r="O71">
        <f>IFERROR(VLOOKUP(C71, [4]Sheet1!A:B, 2, FALSE), "No Data")</f>
        <v>22</v>
      </c>
    </row>
    <row r="72" spans="1:15" ht="22.2" customHeight="1">
      <c r="A72" t="s">
        <v>114</v>
      </c>
      <c r="B72" t="s">
        <v>115</v>
      </c>
      <c r="C72" t="s">
        <v>67</v>
      </c>
      <c r="D72">
        <f>VLOOKUP(B72, [1]Sheet1!A:B, 2, FALSE)</f>
        <v>47</v>
      </c>
      <c r="E72">
        <f>VLOOKUP(C72, [1]Sheet1!A:B, 2, FALSE)</f>
        <v>16</v>
      </c>
      <c r="F72">
        <f>IFERROR(VLOOKUP(B72, [2]Sheet1!A:C, 2, FALSE), 0)</f>
        <v>0</v>
      </c>
      <c r="G72">
        <f>IFERROR(VLOOKUP(B72, [2]Sheet1!A:D, 3, FALSE), 0)</f>
        <v>0</v>
      </c>
      <c r="H72">
        <f>IFERROR(VLOOKUP(C72, [2]Sheet1!A:C, 2, FALSE), 0)</f>
        <v>2</v>
      </c>
      <c r="I72">
        <f>IFERROR(VLOOKUP(C72, [2]Sheet1!A:C, 3, FALSE), 0)</f>
        <v>2</v>
      </c>
      <c r="M72">
        <v>0</v>
      </c>
      <c r="N72">
        <f>IFERROR(VLOOKUP(B72, [4]Sheet1!A:B, 2, FALSE), "")</f>
        <v>32</v>
      </c>
      <c r="O72">
        <f>IFERROR(VLOOKUP(C72, [4]Sheet1!A:B, 2, FALSE), "No Data")</f>
        <v>11</v>
      </c>
    </row>
    <row r="73" spans="1:15" ht="22.2" customHeight="1">
      <c r="A73" t="s">
        <v>116</v>
      </c>
      <c r="B73" t="s">
        <v>66</v>
      </c>
      <c r="C73" t="s">
        <v>115</v>
      </c>
      <c r="D73">
        <f>VLOOKUP(B73, [1]Sheet1!A:B, 2, FALSE)</f>
        <v>10</v>
      </c>
      <c r="E73">
        <f>VLOOKUP(C73, [1]Sheet1!A:B, 2, FALSE)</f>
        <v>47</v>
      </c>
      <c r="F73">
        <f>IFERROR(VLOOKUP(B73, [2]Sheet1!A:C, 2, FALSE), 0)</f>
        <v>4</v>
      </c>
      <c r="G73">
        <f>IFERROR(VLOOKUP(B73, [2]Sheet1!A:D, 3, FALSE), 0)</f>
        <v>5</v>
      </c>
      <c r="H73">
        <f>IFERROR(VLOOKUP(C73, [2]Sheet1!A:C, 2, FALSE), 0)</f>
        <v>0</v>
      </c>
      <c r="I73">
        <f>IFERROR(VLOOKUP(C73, [2]Sheet1!A:C, 3, FALSE), 0)</f>
        <v>0</v>
      </c>
      <c r="M73">
        <v>1</v>
      </c>
      <c r="N73">
        <f>IFERROR(VLOOKUP(B73, [4]Sheet1!A:B, 2, FALSE), "")</f>
        <v>5</v>
      </c>
      <c r="O73">
        <f>IFERROR(VLOOKUP(C73, [4]Sheet1!A:B, 2, FALSE), "No Data")</f>
        <v>32</v>
      </c>
    </row>
    <row r="74" spans="1:15" ht="22.2" customHeight="1">
      <c r="A74" t="s">
        <v>117</v>
      </c>
      <c r="B74" t="s">
        <v>67</v>
      </c>
      <c r="C74" t="s">
        <v>19</v>
      </c>
      <c r="D74">
        <f>VLOOKUP(B74, [1]Sheet1!A:B, 2, FALSE)</f>
        <v>16</v>
      </c>
      <c r="E74">
        <f>VLOOKUP(C74, [1]Sheet1!A:B, 2, FALSE)</f>
        <v>33</v>
      </c>
      <c r="F74">
        <f>IFERROR(VLOOKUP(B74, [2]Sheet1!A:C, 2, FALSE), 0)</f>
        <v>2</v>
      </c>
      <c r="G74">
        <f>IFERROR(VLOOKUP(B74, [2]Sheet1!A:D, 3, FALSE), 0)</f>
        <v>2</v>
      </c>
      <c r="H74">
        <f>IFERROR(VLOOKUP(C74, [2]Sheet1!A:C, 2, FALSE), 0)</f>
        <v>1</v>
      </c>
      <c r="I74">
        <f>IFERROR(VLOOKUP(C74, [2]Sheet1!A:C, 3, FALSE), 0)</f>
        <v>1</v>
      </c>
      <c r="M74">
        <v>1</v>
      </c>
      <c r="N74">
        <f>IFERROR(VLOOKUP(B74, [4]Sheet1!A:B, 2, FALSE), "")</f>
        <v>11</v>
      </c>
      <c r="O74">
        <f>IFERROR(VLOOKUP(C74, [4]Sheet1!A:B, 2, FALSE), "No Data")</f>
        <v>22</v>
      </c>
    </row>
    <row r="75" spans="1:15" ht="22.2" customHeight="1">
      <c r="A75" t="s">
        <v>117</v>
      </c>
      <c r="B75" t="s">
        <v>67</v>
      </c>
      <c r="C75" t="s">
        <v>66</v>
      </c>
      <c r="D75">
        <f>VLOOKUP(B75, [1]Sheet1!A:B, 2, FALSE)</f>
        <v>16</v>
      </c>
      <c r="E75">
        <f>VLOOKUP(C75, [1]Sheet1!A:B, 2, FALSE)</f>
        <v>10</v>
      </c>
      <c r="F75">
        <f>IFERROR(VLOOKUP(B75, [2]Sheet1!A:C, 2, FALSE), 0)</f>
        <v>2</v>
      </c>
      <c r="G75">
        <f>IFERROR(VLOOKUP(B75, [2]Sheet1!A:D, 3, FALSE), 0)</f>
        <v>2</v>
      </c>
      <c r="H75">
        <f>IFERROR(VLOOKUP(C75, [2]Sheet1!A:C, 2, FALSE), 0)</f>
        <v>4</v>
      </c>
      <c r="I75">
        <f>IFERROR(VLOOKUP(C75, [2]Sheet1!A:C, 3, FALSE), 0)</f>
        <v>5</v>
      </c>
      <c r="M75">
        <v>0</v>
      </c>
      <c r="N75">
        <f>IFERROR(VLOOKUP(B75, [4]Sheet1!A:B, 2, FALSE), "")</f>
        <v>11</v>
      </c>
      <c r="O75">
        <f>IFERROR(VLOOKUP(C75, [4]Sheet1!A:B, 2, FALSE), "No Data")</f>
        <v>5</v>
      </c>
    </row>
    <row r="76" spans="1:15" ht="22.2" customHeight="1">
      <c r="A76" t="s">
        <v>118</v>
      </c>
      <c r="B76" t="s">
        <v>19</v>
      </c>
      <c r="C76" t="s">
        <v>115</v>
      </c>
      <c r="D76">
        <f>VLOOKUP(B76, [1]Sheet1!A:B, 2, FALSE)</f>
        <v>33</v>
      </c>
      <c r="E76">
        <f>VLOOKUP(C76, [1]Sheet1!A:B, 2, FALSE)</f>
        <v>47</v>
      </c>
      <c r="F76">
        <f>IFERROR(VLOOKUP(B76, [2]Sheet1!A:C, 2, FALSE), 0)</f>
        <v>1</v>
      </c>
      <c r="G76">
        <f>IFERROR(VLOOKUP(B76, [2]Sheet1!A:D, 3, FALSE), 0)</f>
        <v>1</v>
      </c>
      <c r="H76">
        <f>IFERROR(VLOOKUP(C76, [2]Sheet1!A:C, 2, FALSE), 0)</f>
        <v>0</v>
      </c>
      <c r="I76">
        <f>IFERROR(VLOOKUP(C76, [2]Sheet1!A:C, 3, FALSE), 0)</f>
        <v>0</v>
      </c>
      <c r="M76">
        <v>1</v>
      </c>
      <c r="N76">
        <f>IFERROR(VLOOKUP(B76, [4]Sheet1!A:B, 2, FALSE), "")</f>
        <v>22</v>
      </c>
      <c r="O76">
        <f>IFERROR(VLOOKUP(C76, [4]Sheet1!A:B, 2, FALSE), "No Data")</f>
        <v>32</v>
      </c>
    </row>
    <row r="77" spans="1:15" ht="22.2" customHeight="1">
      <c r="A77" t="s">
        <v>119</v>
      </c>
      <c r="B77" t="s">
        <v>63</v>
      </c>
      <c r="C77" t="s">
        <v>120</v>
      </c>
      <c r="D77">
        <f>VLOOKUP(B77, [1]Sheet1!A:B, 2, FALSE)</f>
        <v>9</v>
      </c>
      <c r="E77">
        <f>VLOOKUP(C77, [1]Sheet1!A:B, 2, FALSE)</f>
        <v>32</v>
      </c>
      <c r="F77">
        <f>IFERROR(VLOOKUP(B77, [2]Sheet1!A:C, 2, FALSE), 0)</f>
        <v>5</v>
      </c>
      <c r="G77">
        <f>IFERROR(VLOOKUP(B77, [2]Sheet1!A:D, 3, FALSE), 0)</f>
        <v>6</v>
      </c>
      <c r="H77">
        <f>IFERROR(VLOOKUP(C77, [2]Sheet1!A:C, 2, FALSE), 0)</f>
        <v>3</v>
      </c>
      <c r="I77">
        <f>IFERROR(VLOOKUP(C77, [2]Sheet1!A:C, 3, FALSE), 0)</f>
        <v>3</v>
      </c>
      <c r="M77">
        <v>1</v>
      </c>
      <c r="N77">
        <f>IFERROR(VLOOKUP(B77, [4]Sheet1!A:B, 2, FALSE), "")</f>
        <v>9</v>
      </c>
      <c r="O77">
        <f>IFERROR(VLOOKUP(C77, [4]Sheet1!A:B, 2, FALSE), "No Data")</f>
        <v>24</v>
      </c>
    </row>
    <row r="78" spans="1:15" ht="22.2" customHeight="1">
      <c r="A78" t="s">
        <v>121</v>
      </c>
      <c r="B78" t="s">
        <v>122</v>
      </c>
      <c r="C78" t="s">
        <v>123</v>
      </c>
      <c r="D78">
        <f>VLOOKUP(B78, [1]Sheet1!A:B, 2, FALSE)</f>
        <v>44</v>
      </c>
      <c r="E78">
        <f>VLOOKUP(C78, [1]Sheet1!A:B, 2, FALSE)</f>
        <v>3</v>
      </c>
      <c r="F78">
        <f>IFERROR(VLOOKUP(B78, [2]Sheet1!A:C, 2, FALSE), 0)</f>
        <v>1</v>
      </c>
      <c r="G78">
        <f>IFERROR(VLOOKUP(B78, [2]Sheet1!A:D, 3, FALSE), 0)</f>
        <v>1</v>
      </c>
      <c r="H78">
        <f>IFERROR(VLOOKUP(C78, [2]Sheet1!A:C, 2, FALSE), 0)</f>
        <v>4</v>
      </c>
      <c r="I78">
        <f>IFERROR(VLOOKUP(C78, [2]Sheet1!A:C, 3, FALSE), 0)</f>
        <v>5</v>
      </c>
      <c r="M78">
        <v>-1</v>
      </c>
      <c r="N78">
        <f>IFERROR(VLOOKUP(B78, [4]Sheet1!A:B, 2, FALSE), "")</f>
        <v>29</v>
      </c>
      <c r="O78">
        <f>IFERROR(VLOOKUP(C78, [4]Sheet1!A:B, 2, FALSE), "No Data")</f>
        <v>10</v>
      </c>
    </row>
    <row r="79" spans="1:15" ht="22.2" customHeight="1">
      <c r="A79" t="s">
        <v>124</v>
      </c>
      <c r="B79" t="s">
        <v>63</v>
      </c>
      <c r="C79" t="s">
        <v>122</v>
      </c>
      <c r="D79">
        <f>VLOOKUP(B79, [1]Sheet1!A:B, 2, FALSE)</f>
        <v>9</v>
      </c>
      <c r="E79">
        <f>VLOOKUP(C79, [1]Sheet1!A:B, 2, FALSE)</f>
        <v>44</v>
      </c>
      <c r="F79">
        <f>IFERROR(VLOOKUP(B79, [2]Sheet1!A:C, 2, FALSE), 0)</f>
        <v>5</v>
      </c>
      <c r="G79">
        <f>IFERROR(VLOOKUP(B79, [2]Sheet1!A:D, 3, FALSE), 0)</f>
        <v>6</v>
      </c>
      <c r="H79">
        <f>IFERROR(VLOOKUP(C79, [2]Sheet1!A:C, 2, FALSE), 0)</f>
        <v>1</v>
      </c>
      <c r="I79">
        <f>IFERROR(VLOOKUP(C79, [2]Sheet1!A:C, 3, FALSE), 0)</f>
        <v>1</v>
      </c>
      <c r="M79">
        <v>1</v>
      </c>
      <c r="N79">
        <f>IFERROR(VLOOKUP(B79, [4]Sheet1!A:B, 2, FALSE), "")</f>
        <v>9</v>
      </c>
      <c r="O79">
        <f>IFERROR(VLOOKUP(C79, [4]Sheet1!A:B, 2, FALSE), "No Data")</f>
        <v>29</v>
      </c>
    </row>
    <row r="80" spans="1:15" ht="22.2" customHeight="1">
      <c r="A80" t="s">
        <v>125</v>
      </c>
      <c r="B80" t="s">
        <v>123</v>
      </c>
      <c r="C80" t="s">
        <v>120</v>
      </c>
      <c r="D80">
        <f>VLOOKUP(B80, [1]Sheet1!A:B, 2, FALSE)</f>
        <v>3</v>
      </c>
      <c r="E80">
        <f>VLOOKUP(C80, [1]Sheet1!A:B, 2, FALSE)</f>
        <v>32</v>
      </c>
      <c r="F80">
        <f>IFERROR(VLOOKUP(B80, [2]Sheet1!A:C, 2, FALSE), 0)</f>
        <v>4</v>
      </c>
      <c r="G80">
        <f>IFERROR(VLOOKUP(B80, [2]Sheet1!A:D, 3, FALSE), 0)</f>
        <v>5</v>
      </c>
      <c r="H80">
        <f>IFERROR(VLOOKUP(C80, [2]Sheet1!A:C, 2, FALSE), 0)</f>
        <v>3</v>
      </c>
      <c r="I80">
        <f>IFERROR(VLOOKUP(C80, [2]Sheet1!A:C, 3, FALSE), 0)</f>
        <v>3</v>
      </c>
      <c r="M80">
        <v>1</v>
      </c>
      <c r="N80">
        <f>IFERROR(VLOOKUP(B80, [4]Sheet1!A:B, 2, FALSE), "")</f>
        <v>10</v>
      </c>
      <c r="O80">
        <f>IFERROR(VLOOKUP(C80, [4]Sheet1!A:B, 2, FALSE), "No Data")</f>
        <v>24</v>
      </c>
    </row>
    <row r="81" spans="1:15" ht="22.2" customHeight="1">
      <c r="A81" t="s">
        <v>126</v>
      </c>
      <c r="B81" t="s">
        <v>123</v>
      </c>
      <c r="C81" t="s">
        <v>63</v>
      </c>
      <c r="D81">
        <f>VLOOKUP(B81, [1]Sheet1!A:B, 2, FALSE)</f>
        <v>3</v>
      </c>
      <c r="E81">
        <f>VLOOKUP(C81, [1]Sheet1!A:B, 2, FALSE)</f>
        <v>9</v>
      </c>
      <c r="F81">
        <f>IFERROR(VLOOKUP(B81, [2]Sheet1!A:C, 2, FALSE), 0)</f>
        <v>4</v>
      </c>
      <c r="G81">
        <f>IFERROR(VLOOKUP(B81, [2]Sheet1!A:D, 3, FALSE), 0)</f>
        <v>5</v>
      </c>
      <c r="H81">
        <f>IFERROR(VLOOKUP(C81, [2]Sheet1!A:C, 2, FALSE), 0)</f>
        <v>5</v>
      </c>
      <c r="I81">
        <f>IFERROR(VLOOKUP(C81, [2]Sheet1!A:C, 3, FALSE), 0)</f>
        <v>6</v>
      </c>
      <c r="M81">
        <v>0</v>
      </c>
      <c r="N81">
        <f>IFERROR(VLOOKUP(B81, [4]Sheet1!A:B, 2, FALSE), "")</f>
        <v>10</v>
      </c>
      <c r="O81">
        <f>IFERROR(VLOOKUP(C81, [4]Sheet1!A:B, 2, FALSE), "No Data")</f>
        <v>9</v>
      </c>
    </row>
    <row r="82" spans="1:15" ht="22.2" customHeight="1">
      <c r="A82" t="s">
        <v>127</v>
      </c>
      <c r="B82" t="s">
        <v>120</v>
      </c>
      <c r="C82" t="s">
        <v>122</v>
      </c>
      <c r="D82">
        <f>VLOOKUP(B82, [1]Sheet1!A:B, 2, FALSE)</f>
        <v>32</v>
      </c>
      <c r="E82">
        <f>VLOOKUP(C82, [1]Sheet1!A:B, 2, FALSE)</f>
        <v>44</v>
      </c>
      <c r="F82">
        <f>IFERROR(VLOOKUP(B82, [2]Sheet1!A:C, 2, FALSE), 0)</f>
        <v>3</v>
      </c>
      <c r="G82">
        <f>IFERROR(VLOOKUP(B82, [2]Sheet1!A:D, 3, FALSE), 0)</f>
        <v>3</v>
      </c>
      <c r="H82">
        <f>IFERROR(VLOOKUP(C82, [2]Sheet1!A:C, 2, FALSE), 0)</f>
        <v>1</v>
      </c>
      <c r="I82">
        <f>IFERROR(VLOOKUP(C82, [2]Sheet1!A:C, 3, FALSE), 0)</f>
        <v>1</v>
      </c>
      <c r="M82">
        <v>1</v>
      </c>
      <c r="N82">
        <f>IFERROR(VLOOKUP(B82, [4]Sheet1!A:B, 2, FALSE), "")</f>
        <v>24</v>
      </c>
      <c r="O82">
        <f>IFERROR(VLOOKUP(C82, [4]Sheet1!A:B, 2, FALSE), "No Data")</f>
        <v>29</v>
      </c>
    </row>
    <row r="83" spans="1:15" ht="22.2" customHeight="1">
      <c r="A83" t="s">
        <v>128</v>
      </c>
      <c r="B83" t="s">
        <v>74</v>
      </c>
      <c r="C83" t="s">
        <v>129</v>
      </c>
      <c r="D83">
        <f>VLOOKUP(B83, [1]Sheet1!A:B, 2, FALSE)</f>
        <v>4</v>
      </c>
      <c r="E83">
        <f>VLOOKUP(C83, [1]Sheet1!A:B, 2, FALSE)</f>
        <v>23</v>
      </c>
      <c r="F83">
        <f>IFERROR(VLOOKUP(B83, [2]Sheet1!A:C, 2, FALSE), 0)</f>
        <v>2</v>
      </c>
      <c r="G83">
        <f>IFERROR(VLOOKUP(B83, [2]Sheet1!A:D, 3, FALSE), 0)</f>
        <v>2</v>
      </c>
      <c r="H83">
        <f>IFERROR(VLOOKUP(C83, [2]Sheet1!A:C, 2, FALSE), 0)</f>
        <v>0</v>
      </c>
      <c r="I83">
        <f>IFERROR(VLOOKUP(C83, [2]Sheet1!A:C, 3, FALSE), 0)</f>
        <v>0</v>
      </c>
      <c r="M83">
        <v>1</v>
      </c>
      <c r="N83">
        <f>IFERROR(VLOOKUP(B83, [4]Sheet1!A:B, 2, FALSE), "")</f>
        <v>12</v>
      </c>
      <c r="O83">
        <f>IFERROR(VLOOKUP(C83, [4]Sheet1!A:B, 2, FALSE), "No Data")</f>
        <v>25</v>
      </c>
    </row>
    <row r="84" spans="1:15" ht="22.2" customHeight="1">
      <c r="A84" t="s">
        <v>130</v>
      </c>
      <c r="B84" t="s">
        <v>131</v>
      </c>
      <c r="C84" t="s">
        <v>43</v>
      </c>
      <c r="D84">
        <f>VLOOKUP(B84, [1]Sheet1!A:B, 2, FALSE)</f>
        <v>57</v>
      </c>
      <c r="E84">
        <f>VLOOKUP(C84, [1]Sheet1!A:B, 2, FALSE)</f>
        <v>7</v>
      </c>
      <c r="F84">
        <f>IFERROR(VLOOKUP(B84, [2]Sheet1!A:C, 2, FALSE), 0)</f>
        <v>0</v>
      </c>
      <c r="G84">
        <f>IFERROR(VLOOKUP(B84, [2]Sheet1!A:D, 3, FALSE), 0)</f>
        <v>0</v>
      </c>
      <c r="H84">
        <f>IFERROR(VLOOKUP(C84, [2]Sheet1!A:C, 2, FALSE), 0)</f>
        <v>4</v>
      </c>
      <c r="I84">
        <f>IFERROR(VLOOKUP(C84, [2]Sheet1!A:C, 3, FALSE), 0)</f>
        <v>5</v>
      </c>
      <c r="M84">
        <v>-1</v>
      </c>
      <c r="N84">
        <f>IFERROR(VLOOKUP(B84, [4]Sheet1!A:B, 2, FALSE), "")</f>
        <v>30</v>
      </c>
      <c r="O84">
        <f>IFERROR(VLOOKUP(C84, [4]Sheet1!A:B, 2, FALSE), "No Data")</f>
        <v>8</v>
      </c>
    </row>
    <row r="85" spans="1:15" ht="22.2" customHeight="1">
      <c r="A85" t="s">
        <v>132</v>
      </c>
      <c r="B85" t="s">
        <v>74</v>
      </c>
      <c r="C85" t="s">
        <v>131</v>
      </c>
      <c r="D85">
        <f>VLOOKUP(B85, [1]Sheet1!A:B, 2, FALSE)</f>
        <v>4</v>
      </c>
      <c r="E85">
        <f>VLOOKUP(C85, [1]Sheet1!A:B, 2, FALSE)</f>
        <v>57</v>
      </c>
      <c r="F85">
        <f>IFERROR(VLOOKUP(B85, [2]Sheet1!A:C, 2, FALSE), 0)</f>
        <v>2</v>
      </c>
      <c r="G85">
        <f>IFERROR(VLOOKUP(B85, [2]Sheet1!A:D, 3, FALSE), 0)</f>
        <v>2</v>
      </c>
      <c r="H85">
        <f>IFERROR(VLOOKUP(C85, [2]Sheet1!A:C, 2, FALSE), 0)</f>
        <v>0</v>
      </c>
      <c r="I85">
        <f>IFERROR(VLOOKUP(C85, [2]Sheet1!A:C, 3, FALSE), 0)</f>
        <v>0</v>
      </c>
      <c r="M85">
        <v>0</v>
      </c>
      <c r="N85">
        <f>IFERROR(VLOOKUP(B85, [4]Sheet1!A:B, 2, FALSE), "")</f>
        <v>12</v>
      </c>
      <c r="O85">
        <f>IFERROR(VLOOKUP(C85, [4]Sheet1!A:B, 2, FALSE), "No Data")</f>
        <v>30</v>
      </c>
    </row>
    <row r="86" spans="1:15" ht="22.2" customHeight="1">
      <c r="A86" t="s">
        <v>133</v>
      </c>
      <c r="B86" t="s">
        <v>43</v>
      </c>
      <c r="C86" t="s">
        <v>129</v>
      </c>
      <c r="D86">
        <f>VLOOKUP(B86, [1]Sheet1!A:B, 2, FALSE)</f>
        <v>7</v>
      </c>
      <c r="E86">
        <f>VLOOKUP(C86, [1]Sheet1!A:B, 2, FALSE)</f>
        <v>23</v>
      </c>
      <c r="F86">
        <f>IFERROR(VLOOKUP(B86, [2]Sheet1!A:C, 2, FALSE), 0)</f>
        <v>4</v>
      </c>
      <c r="G86">
        <f>IFERROR(VLOOKUP(B86, [2]Sheet1!A:D, 3, FALSE), 0)</f>
        <v>5</v>
      </c>
      <c r="H86">
        <f>IFERROR(VLOOKUP(C86, [2]Sheet1!A:C, 2, FALSE), 0)</f>
        <v>0</v>
      </c>
      <c r="I86">
        <f>IFERROR(VLOOKUP(C86, [2]Sheet1!A:C, 3, FALSE), 0)</f>
        <v>0</v>
      </c>
      <c r="M86">
        <v>1</v>
      </c>
      <c r="N86">
        <f>IFERROR(VLOOKUP(B86, [4]Sheet1!A:B, 2, FALSE), "")</f>
        <v>8</v>
      </c>
      <c r="O86">
        <f>IFERROR(VLOOKUP(C86, [4]Sheet1!A:B, 2, FALSE), "No Data")</f>
        <v>25</v>
      </c>
    </row>
    <row r="87" spans="1:15" ht="22.2" customHeight="1">
      <c r="A87" t="s">
        <v>134</v>
      </c>
      <c r="B87" t="s">
        <v>43</v>
      </c>
      <c r="C87" t="s">
        <v>74</v>
      </c>
      <c r="D87">
        <f>VLOOKUP(B87, [1]Sheet1!A:B, 2, FALSE)</f>
        <v>7</v>
      </c>
      <c r="E87">
        <f>VLOOKUP(C87, [1]Sheet1!A:B, 2, FALSE)</f>
        <v>4</v>
      </c>
      <c r="F87">
        <f>IFERROR(VLOOKUP(B87, [2]Sheet1!A:C, 2, FALSE), 0)</f>
        <v>4</v>
      </c>
      <c r="G87">
        <f>IFERROR(VLOOKUP(B87, [2]Sheet1!A:D, 3, FALSE), 0)</f>
        <v>5</v>
      </c>
      <c r="H87">
        <f>IFERROR(VLOOKUP(C87, [2]Sheet1!A:C, 2, FALSE), 0)</f>
        <v>2</v>
      </c>
      <c r="I87">
        <f>IFERROR(VLOOKUP(C87, [2]Sheet1!A:C, 3, FALSE), 0)</f>
        <v>2</v>
      </c>
      <c r="M87">
        <v>1</v>
      </c>
      <c r="N87">
        <f>IFERROR(VLOOKUP(B87, [4]Sheet1!A:B, 2, FALSE), "")</f>
        <v>8</v>
      </c>
      <c r="O87">
        <f>IFERROR(VLOOKUP(C87, [4]Sheet1!A:B, 2, FALSE), "No Data")</f>
        <v>12</v>
      </c>
    </row>
    <row r="88" spans="1:15" ht="22.2" customHeight="1">
      <c r="A88" t="s">
        <v>135</v>
      </c>
      <c r="B88" t="s">
        <v>129</v>
      </c>
      <c r="C88" t="s">
        <v>131</v>
      </c>
      <c r="D88">
        <f>VLOOKUP(B88, [1]Sheet1!A:B, 2, FALSE)</f>
        <v>23</v>
      </c>
      <c r="E88">
        <f>VLOOKUP(C88, [1]Sheet1!A:B, 2, FALSE)</f>
        <v>57</v>
      </c>
      <c r="F88">
        <f>IFERROR(VLOOKUP(B88, [2]Sheet1!A:C, 2, FALSE), 0)</f>
        <v>0</v>
      </c>
      <c r="G88">
        <f>IFERROR(VLOOKUP(B88, [2]Sheet1!A:D, 3, FALSE), 0)</f>
        <v>0</v>
      </c>
      <c r="H88">
        <f>IFERROR(VLOOKUP(C88, [2]Sheet1!A:C, 2, FALSE), 0)</f>
        <v>0</v>
      </c>
      <c r="I88">
        <f>IFERROR(VLOOKUP(C88, [2]Sheet1!A:C, 3, FALSE), 0)</f>
        <v>0</v>
      </c>
      <c r="M88">
        <v>0</v>
      </c>
      <c r="N88">
        <f>IFERROR(VLOOKUP(B88, [4]Sheet1!A:B, 2, FALSE), "")</f>
        <v>25</v>
      </c>
      <c r="O88">
        <f>IFERROR(VLOOKUP(C88, [4]Sheet1!A:B, 2, FALSE), "No Data")</f>
        <v>30</v>
      </c>
    </row>
    <row r="89" spans="1:15" ht="22.2" customHeight="1">
      <c r="A89" t="s">
        <v>136</v>
      </c>
      <c r="B89" t="s">
        <v>42</v>
      </c>
      <c r="C89" t="s">
        <v>138</v>
      </c>
      <c r="D89">
        <f>VLOOKUP(B89, [1]Sheet1!A:B, 2, FALSE)</f>
        <v>5</v>
      </c>
      <c r="E89">
        <f>VLOOKUP(C89, [1]Sheet1!A:B, 2, FALSE)</f>
        <v>2</v>
      </c>
      <c r="F89">
        <f>IFERROR(VLOOKUP(B89, [2]Sheet1!A:C, 2, FALSE), 0)</f>
        <v>1</v>
      </c>
      <c r="G89">
        <f>IFERROR(VLOOKUP(B89, [2]Sheet1!A:D, 3, FALSE), 0)</f>
        <v>1</v>
      </c>
      <c r="H89">
        <f>IFERROR(VLOOKUP(C89, [2]Sheet1!A:C, 2, FALSE), 0)</f>
        <v>3</v>
      </c>
      <c r="I89">
        <f>IFERROR(VLOOKUP(C89, [2]Sheet1!A:C, 3, FALSE), 0)</f>
        <v>4</v>
      </c>
      <c r="M89">
        <v>-1</v>
      </c>
      <c r="N89">
        <f>IFERROR(VLOOKUP(B89, [4]Sheet1!A:B, 2, FALSE), "")</f>
        <v>18</v>
      </c>
      <c r="O89">
        <v>7</v>
      </c>
    </row>
    <row r="90" spans="1:15" ht="22.2" customHeight="1">
      <c r="A90" t="s">
        <v>139</v>
      </c>
      <c r="B90" t="s">
        <v>76</v>
      </c>
      <c r="C90" t="s">
        <v>140</v>
      </c>
      <c r="D90">
        <f>VLOOKUP(B90, [1]Sheet1!A:B, 2, FALSE)</f>
        <v>5</v>
      </c>
      <c r="E90">
        <f>VLOOKUP(C90, [1]Sheet1!A:B, 2, FALSE)</f>
        <v>48</v>
      </c>
      <c r="F90">
        <f>IFERROR(VLOOKUP(B90, [2]Sheet1!A:C, 2, FALSE), 0)</f>
        <v>5</v>
      </c>
      <c r="G90">
        <f>IFERROR(VLOOKUP(B90, [2]Sheet1!A:D, 3, FALSE), 0)</f>
        <v>6</v>
      </c>
      <c r="H90">
        <f>IFERROR(VLOOKUP(C90, [2]Sheet1!A:C, 2, FALSE), 0)</f>
        <v>2</v>
      </c>
      <c r="I90">
        <f>IFERROR(VLOOKUP(C90, [2]Sheet1!A:C, 3, FALSE), 0)</f>
        <v>2</v>
      </c>
      <c r="M90">
        <v>1</v>
      </c>
      <c r="N90">
        <f>IFERROR(VLOOKUP(B90, [4]Sheet1!A:B, 2, FALSE), "")</f>
        <v>1</v>
      </c>
      <c r="O90">
        <f>IFERROR(VLOOKUP(C90, [4]Sheet1!A:B, 2, FALSE), "No Data")</f>
        <v>19</v>
      </c>
    </row>
    <row r="91" spans="1:15" ht="22.2" customHeight="1">
      <c r="A91" t="s">
        <v>141</v>
      </c>
      <c r="B91" t="s">
        <v>137</v>
      </c>
      <c r="C91" t="s">
        <v>140</v>
      </c>
      <c r="D91">
        <f>VLOOKUP(B91, [1]Sheet1!A:B, 2, FALSE)</f>
        <v>2</v>
      </c>
      <c r="E91">
        <f>VLOOKUP(C91, [1]Sheet1!A:B, 2, FALSE)</f>
        <v>48</v>
      </c>
      <c r="F91">
        <f>IFERROR(VLOOKUP(B91, [2]Sheet1!A:C, 2, FALSE), 0)</f>
        <v>3</v>
      </c>
      <c r="G91">
        <f>IFERROR(VLOOKUP(B91, [2]Sheet1!A:D, 3, FALSE), 0)</f>
        <v>4</v>
      </c>
      <c r="H91">
        <f>IFERROR(VLOOKUP(C91, [2]Sheet1!A:C, 2, FALSE), 0)</f>
        <v>2</v>
      </c>
      <c r="I91">
        <f>IFERROR(VLOOKUP(C91, [2]Sheet1!A:C, 3, FALSE), 0)</f>
        <v>2</v>
      </c>
      <c r="M91">
        <v>-1</v>
      </c>
      <c r="N91">
        <f>IFERROR(VLOOKUP(B91, [4]Sheet1!A:B, 2, FALSE), "")</f>
        <v>7</v>
      </c>
      <c r="O91">
        <f>IFERROR(VLOOKUP(C91, [4]Sheet1!A:B, 2, FALSE), "No Data")</f>
        <v>19</v>
      </c>
    </row>
    <row r="92" spans="1:15" ht="22.2" customHeight="1">
      <c r="A92" t="s">
        <v>142</v>
      </c>
      <c r="B92" t="s">
        <v>76</v>
      </c>
      <c r="C92" t="s">
        <v>45</v>
      </c>
      <c r="D92">
        <f>VLOOKUP(B92, [1]Sheet1!A:B, 2, FALSE)</f>
        <v>13</v>
      </c>
      <c r="E92">
        <f>VLOOKUP(C92, [1]Sheet1!A:B, 2, FALSE)</f>
        <v>5</v>
      </c>
      <c r="F92">
        <f>IFERROR(VLOOKUP(B92, [2]Sheet1!A:C, 2, FALSE), 0)</f>
        <v>5</v>
      </c>
      <c r="G92">
        <f>IFERROR(VLOOKUP(B92, [2]Sheet1!A:D, 3, FALSE), 0)</f>
        <v>6</v>
      </c>
      <c r="H92">
        <f>IFERROR(VLOOKUP(C92, [2]Sheet1!A:C, 2, FALSE), 0)</f>
        <v>1</v>
      </c>
      <c r="I92">
        <f>IFERROR(VLOOKUP(C92, [2]Sheet1!A:C, 3, FALSE), 0)</f>
        <v>1</v>
      </c>
      <c r="M92">
        <v>0</v>
      </c>
      <c r="N92">
        <f>IFERROR(VLOOKUP(B92, [4]Sheet1!A:B, 2, FALSE), "")</f>
        <v>1</v>
      </c>
      <c r="O92">
        <f>IFERROR(VLOOKUP(C92, [4]Sheet1!A:B, 2, FALSE), "No Data")</f>
        <v>18</v>
      </c>
    </row>
    <row r="93" spans="1:15" ht="22.2" customHeight="1">
      <c r="A93" t="s">
        <v>143</v>
      </c>
      <c r="B93" t="s">
        <v>137</v>
      </c>
      <c r="C93" t="s">
        <v>76</v>
      </c>
      <c r="D93">
        <f>VLOOKUP(B93, [1]Sheet1!A:B, 2, FALSE)</f>
        <v>2</v>
      </c>
      <c r="E93">
        <f>VLOOKUP(C93, [1]Sheet1!A:B, 2, FALSE)</f>
        <v>13</v>
      </c>
      <c r="F93">
        <f>IFERROR(VLOOKUP(B93, [2]Sheet1!A:C, 2, FALSE), 0)</f>
        <v>3</v>
      </c>
      <c r="G93">
        <f>IFERROR(VLOOKUP(B93, [2]Sheet1!A:D, 3, FALSE), 0)</f>
        <v>4</v>
      </c>
      <c r="H93">
        <f>IFERROR(VLOOKUP(C93, [2]Sheet1!A:C, 2, FALSE), 0)</f>
        <v>5</v>
      </c>
      <c r="I93">
        <f>IFERROR(VLOOKUP(C93, [2]Sheet1!A:C, 3, FALSE), 0)</f>
        <v>6</v>
      </c>
      <c r="M93">
        <v>-1</v>
      </c>
      <c r="N93">
        <f>IFERROR(VLOOKUP(B93, [4]Sheet1!A:B, 2, FALSE), "")</f>
        <v>7</v>
      </c>
      <c r="O93">
        <f>IFERROR(VLOOKUP(C93, [4]Sheet1!A:B, 2, FALSE), "No Data")</f>
        <v>1</v>
      </c>
    </row>
    <row r="94" spans="1:15" ht="22.2" customHeight="1">
      <c r="A94" t="s">
        <v>144</v>
      </c>
      <c r="B94" t="s">
        <v>140</v>
      </c>
      <c r="C94" t="s">
        <v>45</v>
      </c>
      <c r="D94">
        <f>VLOOKUP(B94, [1]Sheet1!A:B, 2, FALSE)</f>
        <v>48</v>
      </c>
      <c r="E94">
        <f>VLOOKUP(C94, [1]Sheet1!A:B, 2, FALSE)</f>
        <v>5</v>
      </c>
      <c r="F94">
        <f>IFERROR(VLOOKUP(B94, [2]Sheet1!A:C, 2, FALSE), 0)</f>
        <v>2</v>
      </c>
      <c r="G94">
        <f>IFERROR(VLOOKUP(B94, [2]Sheet1!A:D, 3, FALSE), 0)</f>
        <v>2</v>
      </c>
      <c r="H94">
        <f>IFERROR(VLOOKUP(C94, [2]Sheet1!A:C, 2, FALSE), 0)</f>
        <v>1</v>
      </c>
      <c r="I94">
        <f>IFERROR(VLOOKUP(C94, [2]Sheet1!A:C, 3, FALSE), 0)</f>
        <v>1</v>
      </c>
      <c r="M94">
        <v>1</v>
      </c>
      <c r="N94">
        <f>IFERROR(VLOOKUP(B94, [4]Sheet1!A:B, 2, FALSE), "")</f>
        <v>19</v>
      </c>
      <c r="O94">
        <f>IFERROR(VLOOKUP(C94, [4]Sheet1!A:B, 2, FALSE), "No Data")</f>
        <v>18</v>
      </c>
    </row>
    <row r="95" spans="1:15" ht="22.2" customHeight="1">
      <c r="A95" t="s">
        <v>145</v>
      </c>
      <c r="B95" t="s">
        <v>146</v>
      </c>
      <c r="C95" t="s">
        <v>83</v>
      </c>
      <c r="D95">
        <f>VLOOKUP(B95, [1]Sheet1!A:B, 2, FALSE)</f>
        <v>42</v>
      </c>
      <c r="E95">
        <f>VLOOKUP(C95, [1]Sheet1!A:B, 2, FALSE)</f>
        <v>18</v>
      </c>
      <c r="F95">
        <f>IFERROR(VLOOKUP(B95, [2]Sheet1!A:C, 2, FALSE), 0)</f>
        <v>1</v>
      </c>
      <c r="G95">
        <f>IFERROR(VLOOKUP(B95, [2]Sheet1!A:D, 3, FALSE), 0)</f>
        <v>1</v>
      </c>
      <c r="H95">
        <f>IFERROR(VLOOKUP(C95, [2]Sheet1!A:C, 2, FALSE), 0)</f>
        <v>1</v>
      </c>
      <c r="I95">
        <f>IFERROR(VLOOKUP(C95, [2]Sheet1!A:C, 3, FALSE), 0)</f>
        <v>1</v>
      </c>
      <c r="M95">
        <v>1</v>
      </c>
      <c r="N95">
        <f>IFERROR(VLOOKUP(B95, [4]Sheet1!A:B, 2, FALSE), "")</f>
        <v>17</v>
      </c>
      <c r="O95">
        <f>IFERROR(VLOOKUP(C95, [4]Sheet1!A:B, 2, FALSE), "No Data")</f>
        <v>21</v>
      </c>
    </row>
    <row r="96" spans="1:15" ht="22.2" customHeight="1">
      <c r="A96" t="s">
        <v>147</v>
      </c>
      <c r="B96" t="s">
        <v>29</v>
      </c>
      <c r="C96" t="s">
        <v>73</v>
      </c>
      <c r="D96">
        <f>VLOOKUP(B96, [1]Sheet1!A:B, 2, FALSE)</f>
        <v>1</v>
      </c>
      <c r="E96">
        <f>VLOOKUP(C96, [1]Sheet1!A:B, 2, FALSE)</f>
        <v>23</v>
      </c>
      <c r="F96">
        <f>IFERROR(VLOOKUP(B96, [2]Sheet1!A:C, 2, FALSE), 0)</f>
        <v>6</v>
      </c>
      <c r="G96">
        <f>IFERROR(VLOOKUP(B96, [2]Sheet1!A:D, 3, FALSE), 0)</f>
        <v>8</v>
      </c>
      <c r="H96">
        <f>IFERROR(VLOOKUP(C96, [2]Sheet1!A:C, 2, FALSE), 0)</f>
        <v>2</v>
      </c>
      <c r="I96">
        <f>IFERROR(VLOOKUP(C96, [2]Sheet1!A:C, 3, FALSE), 0)</f>
        <v>2</v>
      </c>
      <c r="M96">
        <v>1</v>
      </c>
      <c r="N96">
        <f>IFERROR(VLOOKUP(B96, [4]Sheet1!A:B, 2, FALSE), "")</f>
        <v>6</v>
      </c>
      <c r="O96">
        <f>IFERROR(VLOOKUP(C96, [4]Sheet1!A:B, 2, FALSE), "No Data")</f>
        <v>14</v>
      </c>
    </row>
    <row r="97" spans="1:15" ht="22.2" customHeight="1">
      <c r="A97" t="s">
        <v>148</v>
      </c>
      <c r="B97" t="s">
        <v>83</v>
      </c>
      <c r="C97" t="s">
        <v>73</v>
      </c>
      <c r="D97">
        <f>VLOOKUP(B97, [1]Sheet1!A:B, 2, FALSE)</f>
        <v>18</v>
      </c>
      <c r="E97">
        <f>VLOOKUP(C97, [1]Sheet1!A:B, 2, FALSE)</f>
        <v>23</v>
      </c>
      <c r="F97">
        <f>IFERROR(VLOOKUP(B97, [2]Sheet1!A:C, 2, FALSE), 0)</f>
        <v>1</v>
      </c>
      <c r="G97">
        <f>IFERROR(VLOOKUP(B97, [2]Sheet1!A:D, 3, FALSE), 0)</f>
        <v>1</v>
      </c>
      <c r="H97">
        <f>IFERROR(VLOOKUP(C97, [2]Sheet1!A:C, 2, FALSE), 0)</f>
        <v>2</v>
      </c>
      <c r="I97">
        <f>IFERROR(VLOOKUP(C97, [2]Sheet1!A:C, 3, FALSE), 0)</f>
        <v>2</v>
      </c>
      <c r="M97">
        <v>0</v>
      </c>
      <c r="N97">
        <f>IFERROR(VLOOKUP(B97, [4]Sheet1!A:B, 2, FALSE), "")</f>
        <v>21</v>
      </c>
      <c r="O97">
        <f>IFERROR(VLOOKUP(C97, [4]Sheet1!A:B, 2, FALSE), "No Data")</f>
        <v>14</v>
      </c>
    </row>
    <row r="98" spans="1:15" ht="22.2" customHeight="1">
      <c r="A98" t="s">
        <v>149</v>
      </c>
      <c r="B98" t="s">
        <v>29</v>
      </c>
      <c r="C98" t="s">
        <v>146</v>
      </c>
      <c r="D98">
        <f>VLOOKUP(B98, [1]Sheet1!A:B, 2, FALSE)</f>
        <v>1</v>
      </c>
      <c r="E98">
        <f>VLOOKUP(C98, [1]Sheet1!A:B, 2, FALSE)</f>
        <v>42</v>
      </c>
      <c r="F98">
        <f>IFERROR(VLOOKUP(B98, [2]Sheet1!A:C, 2, FALSE), 0)</f>
        <v>6</v>
      </c>
      <c r="G98">
        <f>IFERROR(VLOOKUP(B98, [2]Sheet1!A:D, 3, FALSE), 0)</f>
        <v>8</v>
      </c>
      <c r="H98">
        <f>IFERROR(VLOOKUP(C98, [2]Sheet1!A:C, 2, FALSE), 0)</f>
        <v>1</v>
      </c>
      <c r="I98">
        <f>IFERROR(VLOOKUP(C98, [2]Sheet1!A:C, 3, FALSE), 0)</f>
        <v>1</v>
      </c>
      <c r="M98">
        <v>1</v>
      </c>
      <c r="N98">
        <f>IFERROR(VLOOKUP(B98, [4]Sheet1!A:B, 2, FALSE), "")</f>
        <v>6</v>
      </c>
      <c r="O98">
        <f>IFERROR(VLOOKUP(C98, [4]Sheet1!A:B, 2, FALSE), "No Data")</f>
        <v>17</v>
      </c>
    </row>
    <row r="99" spans="1:15" ht="22.2" customHeight="1">
      <c r="A99" t="s">
        <v>150</v>
      </c>
      <c r="B99" t="s">
        <v>83</v>
      </c>
      <c r="C99" t="s">
        <v>29</v>
      </c>
      <c r="D99">
        <f>VLOOKUP(B99, [1]Sheet1!A:B, 2, FALSE)</f>
        <v>18</v>
      </c>
      <c r="E99">
        <f>VLOOKUP(C99, [1]Sheet1!A:B, 2, FALSE)</f>
        <v>1</v>
      </c>
      <c r="F99">
        <f>IFERROR(VLOOKUP(B99, [2]Sheet1!A:C, 2, FALSE), 0)</f>
        <v>1</v>
      </c>
      <c r="G99">
        <f>IFERROR(VLOOKUP(B99, [2]Sheet1!A:D, 3, FALSE), 0)</f>
        <v>1</v>
      </c>
      <c r="H99">
        <f>IFERROR(VLOOKUP(C99, [2]Sheet1!A:C, 2, FALSE), 0)</f>
        <v>6</v>
      </c>
      <c r="I99">
        <f>IFERROR(VLOOKUP(C99, [2]Sheet1!A:C, 3, FALSE), 0)</f>
        <v>8</v>
      </c>
      <c r="M99">
        <v>-1</v>
      </c>
      <c r="N99">
        <f>IFERROR(VLOOKUP(B99, [4]Sheet1!A:B, 2, FALSE), "")</f>
        <v>21</v>
      </c>
      <c r="O99">
        <f>IFERROR(VLOOKUP(C99, [4]Sheet1!A:B, 2, FALSE), "No Data")</f>
        <v>6</v>
      </c>
    </row>
    <row r="100" spans="1:15" ht="22.2" customHeight="1">
      <c r="A100" t="s">
        <v>151</v>
      </c>
      <c r="B100" t="s">
        <v>73</v>
      </c>
      <c r="C100" t="s">
        <v>146</v>
      </c>
      <c r="D100">
        <f>VLOOKUP(B100, [1]Sheet1!A:B, 2, FALSE)</f>
        <v>23</v>
      </c>
      <c r="E100">
        <f>VLOOKUP(C100, [1]Sheet1!A:B, 2, FALSE)</f>
        <v>42</v>
      </c>
      <c r="F100">
        <f>IFERROR(VLOOKUP(B100, [2]Sheet1!A:C, 2, FALSE), 0)</f>
        <v>2</v>
      </c>
      <c r="G100">
        <f>IFERROR(VLOOKUP(B100, [2]Sheet1!A:D, 3, FALSE), 0)</f>
        <v>2</v>
      </c>
      <c r="H100">
        <f>IFERROR(VLOOKUP(C100, [2]Sheet1!A:C, 2, FALSE), 0)</f>
        <v>1</v>
      </c>
      <c r="I100">
        <f>IFERROR(VLOOKUP(C100, [2]Sheet1!A:C, 3, FALSE), 0)</f>
        <v>1</v>
      </c>
      <c r="M100">
        <v>0</v>
      </c>
      <c r="N100">
        <f>IFERROR(VLOOKUP(B100, [4]Sheet1!A:B, 2, FALSE), "")</f>
        <v>14</v>
      </c>
      <c r="O100">
        <f>IFERROR(VLOOKUP(C100, [4]Sheet1!A:B, 2, FALSE), "No Data")</f>
        <v>17</v>
      </c>
    </row>
    <row r="101" spans="1:15" ht="22.2" customHeight="1">
      <c r="A101" t="s">
        <v>152</v>
      </c>
      <c r="B101" t="s">
        <v>39</v>
      </c>
      <c r="C101" t="s">
        <v>153</v>
      </c>
      <c r="D101">
        <f>VLOOKUP(B101, [1]Sheet1!A:B, 2, FALSE)</f>
        <v>29</v>
      </c>
      <c r="E101">
        <f>VLOOKUP(C101, [1]Sheet1!A:B, 2, FALSE)</f>
        <v>61</v>
      </c>
      <c r="F101">
        <f>IFERROR(VLOOKUP(B101, [2]Sheet1!A:C, 2, FALSE), 0)</f>
        <v>1</v>
      </c>
      <c r="G101">
        <f>IFERROR(VLOOKUP(B101, [2]Sheet1!A:D, 3, FALSE), 0)</f>
        <v>1</v>
      </c>
      <c r="H101">
        <f>IFERROR(VLOOKUP(C101, [2]Sheet1!A:C, 2, FALSE), 0)</f>
        <v>1</v>
      </c>
      <c r="I101">
        <f>IFERROR(VLOOKUP(C101, [2]Sheet1!A:C, 3, FALSE), 0)</f>
        <v>1</v>
      </c>
      <c r="M101">
        <v>1</v>
      </c>
      <c r="N101">
        <f>IFERROR(VLOOKUP(B101, [4]Sheet1!A:B, 2, FALSE), "")</f>
        <v>20</v>
      </c>
      <c r="O101">
        <f>IFERROR(VLOOKUP(C101, [4]Sheet1!A:B, 2, FALSE), "No Data")</f>
        <v>27</v>
      </c>
    </row>
    <row r="102" spans="1:15" ht="22.2" customHeight="1">
      <c r="A102" t="s">
        <v>154</v>
      </c>
      <c r="B102" t="s">
        <v>9</v>
      </c>
      <c r="C102" t="s">
        <v>155</v>
      </c>
      <c r="D102">
        <f>VLOOKUP(B102, [1]Sheet1!A:B, 2, FALSE)</f>
        <v>8</v>
      </c>
      <c r="E102">
        <f>VLOOKUP(C102, [1]Sheet1!A:B, 2, FALSE)</f>
        <v>35</v>
      </c>
      <c r="F102">
        <f>IFERROR(VLOOKUP(B102, [2]Sheet1!A:C, 2, FALSE), 0)</f>
        <v>5</v>
      </c>
      <c r="G102">
        <f>IFERROR(VLOOKUP(B102, [2]Sheet1!A:D, 3, FALSE), 0)</f>
        <v>6</v>
      </c>
      <c r="H102">
        <f>IFERROR(VLOOKUP(C102, [2]Sheet1!A:C, 2, FALSE), 0)</f>
        <v>1</v>
      </c>
      <c r="I102">
        <f>IFERROR(VLOOKUP(C102, [2]Sheet1!A:C, 3, FALSE), 0)</f>
        <v>1</v>
      </c>
      <c r="M102">
        <v>0</v>
      </c>
      <c r="N102">
        <f>IFERROR(VLOOKUP(B102, [4]Sheet1!A:B, 2, FALSE), "")</f>
        <v>3</v>
      </c>
      <c r="O102">
        <f>IFERROR(VLOOKUP(C102, [4]Sheet1!A:B, 2, FALSE), "No Data")</f>
        <v>13</v>
      </c>
    </row>
    <row r="103" spans="1:15" ht="22.2" customHeight="1">
      <c r="A103" t="s">
        <v>156</v>
      </c>
      <c r="B103" t="s">
        <v>9</v>
      </c>
      <c r="C103" t="s">
        <v>39</v>
      </c>
      <c r="D103">
        <f>VLOOKUP(B103, [1]Sheet1!A:B, 2, FALSE)</f>
        <v>8</v>
      </c>
      <c r="E103">
        <f>VLOOKUP(C103, [1]Sheet1!A:B, 2, FALSE)</f>
        <v>29</v>
      </c>
      <c r="F103">
        <f>IFERROR(VLOOKUP(B103, [2]Sheet1!A:C, 2, FALSE), 0)</f>
        <v>5</v>
      </c>
      <c r="G103">
        <f>IFERROR(VLOOKUP(B103, [2]Sheet1!A:D, 3, FALSE), 0)</f>
        <v>6</v>
      </c>
      <c r="H103">
        <f>IFERROR(VLOOKUP(C103, [2]Sheet1!A:C, 2, FALSE), 0)</f>
        <v>1</v>
      </c>
      <c r="I103">
        <f>IFERROR(VLOOKUP(C103, [2]Sheet1!A:C, 3, FALSE), 0)</f>
        <v>1</v>
      </c>
      <c r="M103">
        <v>0</v>
      </c>
      <c r="N103">
        <f>IFERROR(VLOOKUP(B103, [4]Sheet1!A:B, 2, FALSE), "")</f>
        <v>3</v>
      </c>
      <c r="O103">
        <f>IFERROR(VLOOKUP(C103, [4]Sheet1!A:B, 2, FALSE), "No Data")</f>
        <v>20</v>
      </c>
    </row>
    <row r="104" spans="1:15" ht="22.2" customHeight="1">
      <c r="A104" t="s">
        <v>157</v>
      </c>
      <c r="B104" t="s">
        <v>153</v>
      </c>
      <c r="C104" t="s">
        <v>155</v>
      </c>
      <c r="D104">
        <f>VLOOKUP(B104, [1]Sheet1!A:B, 2, FALSE)</f>
        <v>61</v>
      </c>
      <c r="E104">
        <f>VLOOKUP(C104, [1]Sheet1!A:B, 2, FALSE)</f>
        <v>35</v>
      </c>
      <c r="F104">
        <f>IFERROR(VLOOKUP(B104, [2]Sheet1!A:C, 2, FALSE), 0)</f>
        <v>1</v>
      </c>
      <c r="G104">
        <f>IFERROR(VLOOKUP(B104, [2]Sheet1!A:D, 3, FALSE), 0)</f>
        <v>1</v>
      </c>
      <c r="H104">
        <f>IFERROR(VLOOKUP(C104, [2]Sheet1!A:C, 2, FALSE), 0)</f>
        <v>1</v>
      </c>
      <c r="I104">
        <f>IFERROR(VLOOKUP(C104, [2]Sheet1!A:C, 3, FALSE), 0)</f>
        <v>1</v>
      </c>
      <c r="M104">
        <v>-1</v>
      </c>
      <c r="N104">
        <f>IFERROR(VLOOKUP(B104, [4]Sheet1!A:B, 2, FALSE), "")</f>
        <v>27</v>
      </c>
      <c r="O104">
        <f>IFERROR(VLOOKUP(C104, [4]Sheet1!A:B, 2, FALSE), "No Data")</f>
        <v>13</v>
      </c>
    </row>
    <row r="105" spans="1:15" ht="22.2" customHeight="1">
      <c r="A105" t="s">
        <v>158</v>
      </c>
      <c r="B105" t="s">
        <v>153</v>
      </c>
      <c r="C105" t="s">
        <v>9</v>
      </c>
      <c r="D105">
        <f>VLOOKUP(B105, [1]Sheet1!A:B, 2, FALSE)</f>
        <v>61</v>
      </c>
      <c r="E105">
        <f>VLOOKUP(C105, [1]Sheet1!A:B, 2, FALSE)</f>
        <v>8</v>
      </c>
      <c r="F105">
        <f>IFERROR(VLOOKUP(B105, [2]Sheet1!A:C, 2, FALSE), 0)</f>
        <v>1</v>
      </c>
      <c r="G105">
        <f>IFERROR(VLOOKUP(B105, [2]Sheet1!A:D, 3, FALSE), 0)</f>
        <v>1</v>
      </c>
      <c r="H105">
        <f>IFERROR(VLOOKUP(C105, [2]Sheet1!A:C, 2, FALSE), 0)</f>
        <v>5</v>
      </c>
      <c r="I105">
        <f>IFERROR(VLOOKUP(C105, [2]Sheet1!A:C, 3, FALSE), 0)</f>
        <v>6</v>
      </c>
      <c r="M105">
        <v>-1</v>
      </c>
      <c r="N105">
        <f>IFERROR(VLOOKUP(B105, [4]Sheet1!A:B, 2, FALSE), "")</f>
        <v>27</v>
      </c>
      <c r="O105">
        <f>IFERROR(VLOOKUP(C105, [4]Sheet1!A:B, 2, FALSE), "No Data")</f>
        <v>3</v>
      </c>
    </row>
    <row r="106" spans="1:15" ht="22.2" customHeight="1">
      <c r="A106" t="s">
        <v>159</v>
      </c>
      <c r="B106" t="s">
        <v>155</v>
      </c>
      <c r="C106" t="s">
        <v>39</v>
      </c>
      <c r="D106">
        <f>VLOOKUP(B106, [1]Sheet1!A:B, 2, FALSE)</f>
        <v>35</v>
      </c>
      <c r="E106">
        <f>VLOOKUP(C106, [1]Sheet1!A:B, 2, FALSE)</f>
        <v>29</v>
      </c>
      <c r="F106">
        <f>IFERROR(VLOOKUP(B106, [2]Sheet1!A:C, 2, FALSE), 0)</f>
        <v>1</v>
      </c>
      <c r="G106">
        <f>IFERROR(VLOOKUP(B106, [2]Sheet1!A:D, 3, FALSE), 0)</f>
        <v>1</v>
      </c>
      <c r="H106">
        <f>IFERROR(VLOOKUP(C106, [2]Sheet1!A:C, 2, FALSE), 0)</f>
        <v>1</v>
      </c>
      <c r="I106">
        <f>IFERROR(VLOOKUP(C106, [2]Sheet1!A:C, 3, FALSE), 0)</f>
        <v>1</v>
      </c>
      <c r="M106">
        <v>1</v>
      </c>
      <c r="N106">
        <f>IFERROR(VLOOKUP(B106, [4]Sheet1!A:B, 2, FALSE), "")</f>
        <v>13</v>
      </c>
      <c r="O106">
        <f>IFERROR(VLOOKUP(C106, [4]Sheet1!A:B, 2, FALSE), "No Data")</f>
        <v>20</v>
      </c>
    </row>
    <row r="107" spans="1:15" ht="22.2" customHeight="1">
      <c r="A107" t="s">
        <v>160</v>
      </c>
      <c r="B107" t="s">
        <v>22</v>
      </c>
      <c r="C107" t="s">
        <v>161</v>
      </c>
      <c r="D107">
        <f>VLOOKUP(B107, [1]Sheet1!A:B, 2, FALSE)</f>
        <v>5</v>
      </c>
      <c r="E107">
        <f>VLOOKUP(C107, [1]Sheet1!A:B, 2, FALSE)</f>
        <v>45</v>
      </c>
      <c r="F107">
        <f>IFERROR(VLOOKUP(B107, [2]Sheet1!A:C, 2, FALSE), 0)</f>
        <v>4</v>
      </c>
      <c r="G107">
        <f>IFERROR(VLOOKUP(B107, [2]Sheet1!A:D, 3, FALSE), 0)</f>
        <v>5</v>
      </c>
      <c r="H107">
        <f>IFERROR(VLOOKUP(C107, [2]Sheet1!A:C, 2, FALSE), 0)</f>
        <v>2</v>
      </c>
      <c r="I107">
        <f>IFERROR(VLOOKUP(C107, [2]Sheet1!A:C, 3, FALSE), 0)</f>
        <v>2</v>
      </c>
      <c r="M107">
        <v>1</v>
      </c>
      <c r="N107">
        <f>IFERROR(VLOOKUP(B107, [4]Sheet1!A:B, 2, FALSE), "")</f>
        <v>4</v>
      </c>
      <c r="O107">
        <f>IFERROR(VLOOKUP(C107, [4]Sheet1!A:B, 2, FALSE), "No Data")</f>
        <v>15</v>
      </c>
    </row>
    <row r="108" spans="1:15" ht="22.2" customHeight="1">
      <c r="A108" t="s">
        <v>162</v>
      </c>
      <c r="B108" t="s">
        <v>87</v>
      </c>
      <c r="C108" t="s">
        <v>57</v>
      </c>
      <c r="D108">
        <f>VLOOKUP(B108, [1]Sheet1!A:B, 2, FALSE)</f>
        <v>21</v>
      </c>
      <c r="E108">
        <f>VLOOKUP(C108, [1]Sheet1!A:B, 2, FALSE)</f>
        <v>34</v>
      </c>
      <c r="F108">
        <f>IFERROR(VLOOKUP(B108, [2]Sheet1!A:C, 2, FALSE), 0)</f>
        <v>0</v>
      </c>
      <c r="G108">
        <f>IFERROR(VLOOKUP(B108, [2]Sheet1!A:D, 3, FALSE), 0)</f>
        <v>0</v>
      </c>
      <c r="H108">
        <f>IFERROR(VLOOKUP(C108, [2]Sheet1!A:C, 2, FALSE), 0)</f>
        <v>0</v>
      </c>
      <c r="I108">
        <f>IFERROR(VLOOKUP(C108, [2]Sheet1!A:C, 3, FALSE), 0)</f>
        <v>0</v>
      </c>
      <c r="M108">
        <v>0</v>
      </c>
      <c r="N108">
        <f>IFERROR(VLOOKUP(B108, [4]Sheet1!A:B, 2, FALSE), "")</f>
        <v>26</v>
      </c>
      <c r="O108">
        <f>IFERROR(VLOOKUP(C108, [4]Sheet1!A:B, 2, FALSE), "No Data")</f>
        <v>31</v>
      </c>
    </row>
    <row r="109" spans="1:15" ht="22.2" customHeight="1">
      <c r="A109" t="s">
        <v>163</v>
      </c>
      <c r="B109" t="s">
        <v>57</v>
      </c>
      <c r="C109" t="s">
        <v>161</v>
      </c>
      <c r="D109">
        <f>VLOOKUP(B109, [1]Sheet1!A:B, 2, FALSE)</f>
        <v>34</v>
      </c>
      <c r="E109">
        <f>VLOOKUP(C109, [1]Sheet1!A:B, 2, FALSE)</f>
        <v>45</v>
      </c>
      <c r="F109">
        <f>IFERROR(VLOOKUP(B109, [2]Sheet1!A:C, 2, FALSE), 0)</f>
        <v>0</v>
      </c>
      <c r="G109">
        <f>IFERROR(VLOOKUP(B109, [2]Sheet1!A:D, 3, FALSE), 0)</f>
        <v>0</v>
      </c>
      <c r="H109">
        <f>IFERROR(VLOOKUP(C109, [2]Sheet1!A:C, 2, FALSE), 0)</f>
        <v>2</v>
      </c>
      <c r="I109">
        <f>IFERROR(VLOOKUP(C109, [2]Sheet1!A:C, 3, FALSE), 0)</f>
        <v>2</v>
      </c>
      <c r="M109">
        <v>-1</v>
      </c>
      <c r="N109">
        <f>IFERROR(VLOOKUP(B109, [4]Sheet1!A:B, 2, FALSE), "")</f>
        <v>31</v>
      </c>
      <c r="O109">
        <f>IFERROR(VLOOKUP(C109, [4]Sheet1!A:B, 2, FALSE), "No Data")</f>
        <v>15</v>
      </c>
    </row>
    <row r="110" spans="1:15" ht="22.2" customHeight="1">
      <c r="A110" t="s">
        <v>164</v>
      </c>
      <c r="B110" t="s">
        <v>22</v>
      </c>
      <c r="C110" t="s">
        <v>87</v>
      </c>
      <c r="D110">
        <f>VLOOKUP(B110, [1]Sheet1!A:B, 2, FALSE)</f>
        <v>5</v>
      </c>
      <c r="E110">
        <f>VLOOKUP(C110, [1]Sheet1!A:B, 2, FALSE)</f>
        <v>21</v>
      </c>
      <c r="F110">
        <f>IFERROR(VLOOKUP(B110, [2]Sheet1!A:C, 2, FALSE), 0)</f>
        <v>4</v>
      </c>
      <c r="G110">
        <f>IFERROR(VLOOKUP(B110, [2]Sheet1!A:D, 3, FALSE), 0)</f>
        <v>5</v>
      </c>
      <c r="H110">
        <f>IFERROR(VLOOKUP(C110, [2]Sheet1!A:C, 2, FALSE), 0)</f>
        <v>0</v>
      </c>
      <c r="I110">
        <f>IFERROR(VLOOKUP(C110, [2]Sheet1!A:C, 3, FALSE), 0)</f>
        <v>0</v>
      </c>
      <c r="M110">
        <v>1</v>
      </c>
      <c r="N110">
        <f>IFERROR(VLOOKUP(B110, [4]Sheet1!A:B, 2, FALSE), "")</f>
        <v>4</v>
      </c>
      <c r="O110">
        <f>IFERROR(VLOOKUP(C110, [4]Sheet1!A:B, 2, FALSE), "No Data")</f>
        <v>26</v>
      </c>
    </row>
    <row r="111" spans="1:15" ht="22.2" customHeight="1">
      <c r="A111" t="s">
        <v>165</v>
      </c>
      <c r="B111" t="s">
        <v>57</v>
      </c>
      <c r="C111" t="s">
        <v>22</v>
      </c>
      <c r="D111">
        <f>VLOOKUP(B111, [1]Sheet1!A:B, 2, FALSE)</f>
        <v>34</v>
      </c>
      <c r="E111">
        <f>VLOOKUP(C111, [1]Sheet1!A:B, 2, FALSE)</f>
        <v>5</v>
      </c>
      <c r="F111">
        <f>IFERROR(VLOOKUP(B111, [2]Sheet1!A:C, 2, FALSE), 0)</f>
        <v>0</v>
      </c>
      <c r="G111">
        <f>IFERROR(VLOOKUP(B111, [2]Sheet1!A:D, 3, FALSE), 0)</f>
        <v>0</v>
      </c>
      <c r="H111">
        <f>IFERROR(VLOOKUP(C111, [2]Sheet1!A:C, 2, FALSE), 0)</f>
        <v>4</v>
      </c>
      <c r="I111">
        <f>IFERROR(VLOOKUP(C111, [2]Sheet1!A:C, 3, FALSE), 0)</f>
        <v>5</v>
      </c>
      <c r="M111">
        <v>-1</v>
      </c>
      <c r="N111">
        <f>IFERROR(VLOOKUP(B111, [4]Sheet1!A:B, 2, FALSE), "")</f>
        <v>31</v>
      </c>
      <c r="O111">
        <f>IFERROR(VLOOKUP(C111, [4]Sheet1!A:B, 2, FALSE), "No Data")</f>
        <v>4</v>
      </c>
    </row>
    <row r="112" spans="1:15" ht="22.2" customHeight="1">
      <c r="A112" t="s">
        <v>166</v>
      </c>
      <c r="B112" t="s">
        <v>161</v>
      </c>
      <c r="C112" t="s">
        <v>87</v>
      </c>
      <c r="D112">
        <f>VLOOKUP(B112, [1]Sheet1!A:B, 2, FALSE)</f>
        <v>45</v>
      </c>
      <c r="E112">
        <f>VLOOKUP(C112, [1]Sheet1!A:B, 2, FALSE)</f>
        <v>21</v>
      </c>
      <c r="F112">
        <f>IFERROR(VLOOKUP(B112, [2]Sheet1!A:C, 2, FALSE), 0)</f>
        <v>2</v>
      </c>
      <c r="G112">
        <f>IFERROR(VLOOKUP(B112, [2]Sheet1!A:D, 3, FALSE), 0)</f>
        <v>2</v>
      </c>
      <c r="H112">
        <f>IFERROR(VLOOKUP(C112, [2]Sheet1!A:C, 2, FALSE), 0)</f>
        <v>0</v>
      </c>
      <c r="I112">
        <f>IFERROR(VLOOKUP(C112, [2]Sheet1!A:C, 3, FALSE), 0)</f>
        <v>0</v>
      </c>
      <c r="M112">
        <v>1</v>
      </c>
      <c r="N112">
        <f>IFERROR(VLOOKUP(B112, [4]Sheet1!A:B, 2, FALSE), "")</f>
        <v>15</v>
      </c>
      <c r="O112">
        <f>IFERROR(VLOOKUP(C112, [4]Sheet1!A:B, 2, FALSE), "No Data")</f>
        <v>26</v>
      </c>
    </row>
    <row r="113" spans="1:15" ht="22.2" customHeight="1">
      <c r="A113" t="s">
        <v>167</v>
      </c>
      <c r="B113" t="s">
        <v>56</v>
      </c>
      <c r="C113" t="s">
        <v>67</v>
      </c>
      <c r="D113">
        <f>VLOOKUP(B113, [1]Sheet1!A:B, 2, FALSE)</f>
        <v>19</v>
      </c>
      <c r="E113">
        <f>VLOOKUP(C113, [1]Sheet1!A:B, 2, FALSE)</f>
        <v>16</v>
      </c>
      <c r="F113">
        <f>IFERROR(VLOOKUP(B113, [2]Sheet1!A:C, 2, FALSE), 0)</f>
        <v>4</v>
      </c>
      <c r="G113">
        <f>IFERROR(VLOOKUP(B113, [2]Sheet1!A:D, 3, FALSE), 0)</f>
        <v>5</v>
      </c>
      <c r="H113">
        <f>IFERROR(VLOOKUP(C113, [2]Sheet1!A:C, 2, FALSE), 0)</f>
        <v>2</v>
      </c>
      <c r="I113">
        <f>IFERROR(VLOOKUP(C113, [2]Sheet1!A:C, 3, FALSE), 0)</f>
        <v>2</v>
      </c>
      <c r="M113">
        <v>1</v>
      </c>
      <c r="N113">
        <f>IFERROR(VLOOKUP(B113, [4]Sheet1!A:B, 2, FALSE), "")</f>
        <v>2</v>
      </c>
      <c r="O113">
        <f>IFERROR(VLOOKUP(C113, [4]Sheet1!A:B, 2, FALSE), "No Data")</f>
        <v>11</v>
      </c>
    </row>
    <row r="114" spans="1:15" ht="22.2" customHeight="1">
      <c r="A114" t="s">
        <v>168</v>
      </c>
      <c r="B114" t="s">
        <v>63</v>
      </c>
      <c r="C114" t="s">
        <v>74</v>
      </c>
      <c r="D114">
        <f>VLOOKUP(B114, [1]Sheet1!A:B, 2, FALSE)</f>
        <v>9</v>
      </c>
      <c r="E114">
        <f>VLOOKUP(C114, [1]Sheet1!A:B, 2, FALSE)</f>
        <v>4</v>
      </c>
      <c r="F114">
        <f>IFERROR(VLOOKUP(B114, [2]Sheet1!A:C, 2, FALSE), 0)</f>
        <v>5</v>
      </c>
      <c r="G114">
        <f>IFERROR(VLOOKUP(B114, [2]Sheet1!A:D, 3, FALSE), 0)</f>
        <v>6</v>
      </c>
      <c r="H114">
        <f>IFERROR(VLOOKUP(C114, [2]Sheet1!A:C, 2, FALSE), 0)</f>
        <v>2</v>
      </c>
      <c r="I114">
        <f>IFERROR(VLOOKUP(C114, [2]Sheet1!A:C, 3, FALSE), 0)</f>
        <v>2</v>
      </c>
      <c r="M114">
        <v>1</v>
      </c>
      <c r="N114">
        <f>IFERROR(VLOOKUP(B114, [4]Sheet1!A:B, 2, FALSE), "")</f>
        <v>9</v>
      </c>
      <c r="O114">
        <f>IFERROR(VLOOKUP(C114, [4]Sheet1!A:B, 2, FALSE), "No Data")</f>
        <v>12</v>
      </c>
    </row>
    <row r="115" spans="1:15" ht="22.2" customHeight="1">
      <c r="A115" t="s">
        <v>169</v>
      </c>
      <c r="B115" t="s">
        <v>76</v>
      </c>
      <c r="C115" t="s">
        <v>146</v>
      </c>
      <c r="D115">
        <f>VLOOKUP(B115, [1]Sheet1!A:B, 2, FALSE)</f>
        <v>13</v>
      </c>
      <c r="E115">
        <f>VLOOKUP(C115, [1]Sheet1!A:B, 2, FALSE)</f>
        <v>42</v>
      </c>
      <c r="F115">
        <f>IFERROR(VLOOKUP(B115, [2]Sheet1!A:C, 2, FALSE), 0)</f>
        <v>5</v>
      </c>
      <c r="G115">
        <f>IFERROR(VLOOKUP(B115, [2]Sheet1!A:D, 3, FALSE), 0)</f>
        <v>6</v>
      </c>
      <c r="H115">
        <f>IFERROR(VLOOKUP(C115, [2]Sheet1!A:C, 2, FALSE), 0)</f>
        <v>1</v>
      </c>
      <c r="I115">
        <f>IFERROR(VLOOKUP(C115, [2]Sheet1!A:C, 3, FALSE), 0)</f>
        <v>1</v>
      </c>
      <c r="M115">
        <v>1</v>
      </c>
      <c r="N115">
        <f>IFERROR(VLOOKUP(B115, [4]Sheet1!A:B, 2, FALSE), "")</f>
        <v>1</v>
      </c>
      <c r="O115">
        <f>IFERROR(VLOOKUP(C115, [4]Sheet1!A:B, 2, FALSE), "No Data")</f>
        <v>17</v>
      </c>
    </row>
    <row r="116" spans="1:15" ht="22.2" customHeight="1">
      <c r="A116" t="s">
        <v>170</v>
      </c>
      <c r="B116" t="s">
        <v>155</v>
      </c>
      <c r="C116" t="s">
        <v>161</v>
      </c>
      <c r="D116">
        <f>VLOOKUP(B116, [1]Sheet1!A:B, 2, FALSE)</f>
        <v>35</v>
      </c>
      <c r="E116">
        <f>VLOOKUP(C116, [1]Sheet1!A:B, 2, FALSE)</f>
        <v>45</v>
      </c>
      <c r="F116">
        <f>IFERROR(VLOOKUP(B116, [2]Sheet1!A:C, 2, FALSE), 0)</f>
        <v>1</v>
      </c>
      <c r="G116">
        <f>IFERROR(VLOOKUP(B116, [2]Sheet1!A:D, 3, FALSE), 0)</f>
        <v>1</v>
      </c>
      <c r="H116">
        <f>IFERROR(VLOOKUP(C116, [2]Sheet1!A:C, 2, FALSE), 0)</f>
        <v>2</v>
      </c>
      <c r="I116">
        <f>IFERROR(VLOOKUP(C116, [2]Sheet1!A:C, 3, FALSE), 0)</f>
        <v>2</v>
      </c>
      <c r="M116">
        <v>0</v>
      </c>
      <c r="N116">
        <f>IFERROR(VLOOKUP(B116, [4]Sheet1!A:B, 2, FALSE), "")</f>
        <v>13</v>
      </c>
      <c r="O116">
        <f>IFERROR(VLOOKUP(C116, [4]Sheet1!A:B, 2, FALSE), "No Data")</f>
        <v>15</v>
      </c>
    </row>
    <row r="117" spans="1:15" ht="22.2" customHeight="1">
      <c r="A117" t="s">
        <v>171</v>
      </c>
      <c r="B117" t="s">
        <v>66</v>
      </c>
      <c r="C117" t="s">
        <v>77</v>
      </c>
      <c r="D117">
        <f>VLOOKUP(B117, [1]Sheet1!A:B, 2, FALSE)</f>
        <v>10</v>
      </c>
      <c r="E117">
        <f>VLOOKUP(C117, [1]Sheet1!A:B, 2, FALSE)</f>
        <v>39</v>
      </c>
      <c r="F117">
        <f>IFERROR(VLOOKUP(B117, [2]Sheet1!A:C, 2, FALSE), 0)</f>
        <v>4</v>
      </c>
      <c r="G117">
        <f>IFERROR(VLOOKUP(B117, [2]Sheet1!A:D, 3, FALSE), 0)</f>
        <v>5</v>
      </c>
      <c r="H117">
        <f>IFERROR(VLOOKUP(C117, [2]Sheet1!A:C, 2, FALSE), 0)</f>
        <v>1</v>
      </c>
      <c r="I117">
        <f>IFERROR(VLOOKUP(C117, [2]Sheet1!A:C, 3, FALSE), 0)</f>
        <v>1</v>
      </c>
      <c r="M117">
        <v>1</v>
      </c>
      <c r="N117">
        <f>IFERROR(VLOOKUP(B117, [4]Sheet1!A:B, 2, FALSE), "")</f>
        <v>5</v>
      </c>
      <c r="O117">
        <f>IFERROR(VLOOKUP(C117, [4]Sheet1!A:B, 2, FALSE), "No Data")</f>
        <v>23</v>
      </c>
    </row>
    <row r="118" spans="1:15" ht="22.2" customHeight="1">
      <c r="A118" t="s">
        <v>172</v>
      </c>
      <c r="B118" t="s">
        <v>43</v>
      </c>
      <c r="C118" t="s">
        <v>123</v>
      </c>
      <c r="D118">
        <f>VLOOKUP(B118, [1]Sheet1!A:B, 2, FALSE)</f>
        <v>7</v>
      </c>
      <c r="E118">
        <f>VLOOKUP(C118, [1]Sheet1!A:B, 2, FALSE)</f>
        <v>3</v>
      </c>
      <c r="F118">
        <f>IFERROR(VLOOKUP(B118, [2]Sheet1!A:C, 2, FALSE), 0)</f>
        <v>4</v>
      </c>
      <c r="G118">
        <f>IFERROR(VLOOKUP(B118, [2]Sheet1!A:D, 3, FALSE), 0)</f>
        <v>5</v>
      </c>
      <c r="H118">
        <f>IFERROR(VLOOKUP(C118, [2]Sheet1!A:C, 2, FALSE), 0)</f>
        <v>4</v>
      </c>
      <c r="I118">
        <f>IFERROR(VLOOKUP(C118, [2]Sheet1!A:C, 3, FALSE), 0)</f>
        <v>5</v>
      </c>
      <c r="M118">
        <v>1</v>
      </c>
      <c r="N118">
        <f>IFERROR(VLOOKUP(B118, [4]Sheet1!A:B, 2, FALSE), "")</f>
        <v>8</v>
      </c>
      <c r="O118">
        <f>IFERROR(VLOOKUP(C118, [4]Sheet1!A:B, 2, FALSE), "No Data")</f>
        <v>10</v>
      </c>
    </row>
    <row r="119" spans="1:15" ht="22.2" customHeight="1">
      <c r="A119" t="s">
        <v>173</v>
      </c>
      <c r="B119" t="s">
        <v>29</v>
      </c>
      <c r="C119" t="s">
        <v>140</v>
      </c>
      <c r="D119">
        <f>VLOOKUP(B119, [1]Sheet1!A:B, 2, FALSE)</f>
        <v>1</v>
      </c>
      <c r="E119">
        <f>VLOOKUP(C119, [1]Sheet1!A:B, 2, FALSE)</f>
        <v>48</v>
      </c>
      <c r="F119">
        <f>IFERROR(VLOOKUP(B119, [2]Sheet1!A:C, 2, FALSE), 0)</f>
        <v>6</v>
      </c>
      <c r="G119">
        <f>IFERROR(VLOOKUP(B119, [2]Sheet1!A:D, 3, FALSE), 0)</f>
        <v>8</v>
      </c>
      <c r="H119">
        <f>IFERROR(VLOOKUP(C119, [2]Sheet1!A:C, 2, FALSE), 0)</f>
        <v>2</v>
      </c>
      <c r="I119">
        <f>IFERROR(VLOOKUP(C119, [2]Sheet1!A:C, 3, FALSE), 0)</f>
        <v>2</v>
      </c>
      <c r="M119">
        <v>1</v>
      </c>
      <c r="N119">
        <f>IFERROR(VLOOKUP(B119, [4]Sheet1!A:B, 2, FALSE), "")</f>
        <v>6</v>
      </c>
      <c r="O119">
        <f>IFERROR(VLOOKUP(C119, [4]Sheet1!A:B, 2, FALSE), "No Data")</f>
        <v>19</v>
      </c>
    </row>
    <row r="120" spans="1:15" ht="22.2" customHeight="1">
      <c r="A120" t="s">
        <v>174</v>
      </c>
      <c r="B120" t="s">
        <v>22</v>
      </c>
      <c r="C120" t="s">
        <v>9</v>
      </c>
      <c r="D120">
        <f>VLOOKUP(B120, [1]Sheet1!A:B, 2, FALSE)</f>
        <v>5</v>
      </c>
      <c r="E120">
        <f>VLOOKUP(C120, [1]Sheet1!A:B, 2, FALSE)</f>
        <v>8</v>
      </c>
      <c r="F120">
        <f>IFERROR(VLOOKUP(B120, [2]Sheet1!A:C, 2, FALSE), 0)</f>
        <v>4</v>
      </c>
      <c r="G120">
        <f>IFERROR(VLOOKUP(B120, [2]Sheet1!A:D, 3, FALSE), 0)</f>
        <v>5</v>
      </c>
      <c r="H120">
        <f>IFERROR(VLOOKUP(C120, [2]Sheet1!A:C, 2, FALSE), 0)</f>
        <v>5</v>
      </c>
      <c r="I120">
        <f>IFERROR(VLOOKUP(C120, [2]Sheet1!A:C, 3, FALSE), 0)</f>
        <v>6</v>
      </c>
      <c r="M120">
        <v>-1</v>
      </c>
      <c r="N120">
        <f>IFERROR(VLOOKUP(B120, [4]Sheet1!A:B, 2, FALSE), "")</f>
        <v>4</v>
      </c>
      <c r="O120">
        <f>IFERROR(VLOOKUP(C120, [4]Sheet1!A:B, 2, FALSE), "No Data")</f>
        <v>3</v>
      </c>
    </row>
    <row r="121" spans="1:15" ht="22.2" customHeight="1">
      <c r="A121" t="s">
        <v>175</v>
      </c>
      <c r="B121" t="s">
        <v>56</v>
      </c>
      <c r="C121" t="s">
        <v>63</v>
      </c>
      <c r="D121">
        <f>VLOOKUP(B121, [1]Sheet1!A:B, 2, FALSE)</f>
        <v>19</v>
      </c>
      <c r="E121">
        <f>VLOOKUP(C121, [1]Sheet1!A:B, 2, FALSE)</f>
        <v>9</v>
      </c>
      <c r="F121">
        <f>IFERROR(VLOOKUP(B121, [2]Sheet1!A:C, 2, FALSE), 0)</f>
        <v>4</v>
      </c>
      <c r="G121">
        <f>IFERROR(VLOOKUP(B121, [2]Sheet1!A:D, 3, FALSE), 0)</f>
        <v>5</v>
      </c>
      <c r="H121">
        <f>IFERROR(VLOOKUP(C121, [2]Sheet1!A:C, 2, FALSE), 0)</f>
        <v>5</v>
      </c>
      <c r="I121">
        <f>IFERROR(VLOOKUP(C121, [2]Sheet1!A:C, 3, FALSE), 0)</f>
        <v>6</v>
      </c>
      <c r="M121">
        <v>0</v>
      </c>
      <c r="N121">
        <f>IFERROR(VLOOKUP(B121, [4]Sheet1!A:B, 2, FALSE), "")</f>
        <v>2</v>
      </c>
      <c r="O121">
        <f>IFERROR(VLOOKUP(C121, [4]Sheet1!A:B, 2, FALSE), "No Data")</f>
        <v>9</v>
      </c>
    </row>
    <row r="122" spans="1:15" ht="22.2" customHeight="1">
      <c r="A122" t="s">
        <v>176</v>
      </c>
      <c r="B122" t="s">
        <v>76</v>
      </c>
      <c r="C122" t="s">
        <v>161</v>
      </c>
      <c r="D122">
        <f>VLOOKUP(B122, [1]Sheet1!A:B, 2, FALSE)</f>
        <v>13</v>
      </c>
      <c r="E122">
        <f>VLOOKUP(C122, [1]Sheet1!A:B, 2, FALSE)</f>
        <v>45</v>
      </c>
      <c r="F122">
        <f>IFERROR(VLOOKUP(B122, [2]Sheet1!A:C, 2, FALSE), 0)</f>
        <v>5</v>
      </c>
      <c r="G122">
        <f>IFERROR(VLOOKUP(B122, [2]Sheet1!A:D, 3, FALSE), 0)</f>
        <v>6</v>
      </c>
      <c r="H122">
        <f>IFERROR(VLOOKUP(C122, [2]Sheet1!A:C, 2, FALSE), 0)</f>
        <v>2</v>
      </c>
      <c r="I122">
        <f>IFERROR(VLOOKUP(C122, [2]Sheet1!A:C, 3, FALSE), 0)</f>
        <v>2</v>
      </c>
      <c r="M122">
        <v>1</v>
      </c>
      <c r="N122">
        <f>IFERROR(VLOOKUP(B122, [4]Sheet1!A:B, 2, FALSE), "")</f>
        <v>1</v>
      </c>
      <c r="O122">
        <f>IFERROR(VLOOKUP(C122, [4]Sheet1!A:B, 2, FALSE), "No Data")</f>
        <v>15</v>
      </c>
    </row>
    <row r="123" spans="1:15" ht="22.2" customHeight="1">
      <c r="A123" t="s">
        <v>177</v>
      </c>
      <c r="B123" t="s">
        <v>66</v>
      </c>
      <c r="C123" t="s">
        <v>43</v>
      </c>
      <c r="D123">
        <f>VLOOKUP(B123, [1]Sheet1!A:B, 2, FALSE)</f>
        <v>10</v>
      </c>
      <c r="E123">
        <f>VLOOKUP(C123, [1]Sheet1!A:B, 2, FALSE)</f>
        <v>7</v>
      </c>
      <c r="F123">
        <f>IFERROR(VLOOKUP(B123, [2]Sheet1!A:C, 2, FALSE), 0)</f>
        <v>4</v>
      </c>
      <c r="G123">
        <f>IFERROR(VLOOKUP(B123, [2]Sheet1!A:D, 3, FALSE), 0)</f>
        <v>5</v>
      </c>
      <c r="H123">
        <f>IFERROR(VLOOKUP(C123, [2]Sheet1!A:C, 2, FALSE), 0)</f>
        <v>4</v>
      </c>
      <c r="I123">
        <f>IFERROR(VLOOKUP(C123, [2]Sheet1!A:C, 3, FALSE), 0)</f>
        <v>5</v>
      </c>
      <c r="M123">
        <v>0</v>
      </c>
      <c r="N123">
        <f>IFERROR(VLOOKUP(B123, [4]Sheet1!A:B, 2, FALSE), "")</f>
        <v>5</v>
      </c>
      <c r="O123">
        <f>IFERROR(VLOOKUP(C123, [4]Sheet1!A:B, 2, FALSE), "No Data")</f>
        <v>8</v>
      </c>
    </row>
    <row r="124" spans="1:15" ht="22.2" customHeight="1">
      <c r="A124" t="s">
        <v>178</v>
      </c>
      <c r="B124" t="s">
        <v>29</v>
      </c>
      <c r="C124" t="s">
        <v>9</v>
      </c>
      <c r="D124">
        <f>VLOOKUP(B124, [1]Sheet1!A:B, 2, FALSE)</f>
        <v>1</v>
      </c>
      <c r="E124">
        <f>VLOOKUP(C124, [1]Sheet1!A:B, 2, FALSE)</f>
        <v>8</v>
      </c>
      <c r="F124">
        <f>IFERROR(VLOOKUP(B124, [2]Sheet1!A:C, 2, FALSE), 0)</f>
        <v>6</v>
      </c>
      <c r="G124">
        <f>IFERROR(VLOOKUP(B124, [2]Sheet1!A:D, 3, FALSE), 0)</f>
        <v>8</v>
      </c>
      <c r="H124">
        <f>IFERROR(VLOOKUP(C124, [2]Sheet1!A:C, 2, FALSE), 0)</f>
        <v>5</v>
      </c>
      <c r="I124">
        <f>IFERROR(VLOOKUP(C124, [2]Sheet1!A:C, 3, FALSE), 0)</f>
        <v>6</v>
      </c>
      <c r="M124">
        <v>-1</v>
      </c>
      <c r="N124">
        <f>IFERROR(VLOOKUP(B124, [4]Sheet1!A:B, 2, FALSE), "")</f>
        <v>6</v>
      </c>
      <c r="O124">
        <f>IFERROR(VLOOKUP(C124, [4]Sheet1!A:B, 2, FALSE), "No Data")</f>
        <v>3</v>
      </c>
    </row>
    <row r="125" spans="1:15" ht="22.2" customHeight="1">
      <c r="A125" t="s">
        <v>179</v>
      </c>
      <c r="B125" t="s">
        <v>56</v>
      </c>
      <c r="C125" t="s">
        <v>76</v>
      </c>
      <c r="D125">
        <f>VLOOKUP(B125, [1]Sheet1!A:B, 2, FALSE)</f>
        <v>19</v>
      </c>
      <c r="E125">
        <f>VLOOKUP(C125, [1]Sheet1!A:B, 2, FALSE)</f>
        <v>13</v>
      </c>
      <c r="F125">
        <f>IFERROR(VLOOKUP(B125, [2]Sheet1!A:C, 2, FALSE), 0)</f>
        <v>4</v>
      </c>
      <c r="G125">
        <f>IFERROR(VLOOKUP(B125, [2]Sheet1!A:D, 3, FALSE), 0)</f>
        <v>5</v>
      </c>
      <c r="H125">
        <f>IFERROR(VLOOKUP(C125, [2]Sheet1!A:C, 2, FALSE), 0)</f>
        <v>5</v>
      </c>
      <c r="I125">
        <f>IFERROR(VLOOKUP(C125, [2]Sheet1!A:C, 3, FALSE), 0)</f>
        <v>6</v>
      </c>
      <c r="M125">
        <v>-1</v>
      </c>
      <c r="N125">
        <f>IFERROR(VLOOKUP(B125, [4]Sheet1!A:B, 2, FALSE), "")</f>
        <v>2</v>
      </c>
      <c r="O125">
        <f>IFERROR(VLOOKUP(C125, [4]Sheet1!A:B, 2, FALSE), "No Data")</f>
        <v>1</v>
      </c>
    </row>
    <row r="126" spans="1:15" ht="22.2" customHeight="1">
      <c r="A126" t="s">
        <v>180</v>
      </c>
      <c r="B126" t="s">
        <v>43</v>
      </c>
      <c r="C126" t="s">
        <v>9</v>
      </c>
      <c r="D126">
        <f>VLOOKUP(B126, [1]Sheet1!A:B, 2, FALSE)</f>
        <v>7</v>
      </c>
      <c r="E126">
        <f>VLOOKUP(C126, [1]Sheet1!A:B, 2, FALSE)</f>
        <v>8</v>
      </c>
      <c r="F126">
        <f>IFERROR(VLOOKUP(B126, [2]Sheet1!A:C, 2, FALSE), 0)</f>
        <v>4</v>
      </c>
      <c r="G126">
        <f>IFERROR(VLOOKUP(B126, [2]Sheet1!A:D, 3, FALSE), 0)</f>
        <v>5</v>
      </c>
      <c r="H126">
        <f>IFERROR(VLOOKUP(C126, [2]Sheet1!A:C, 2, FALSE), 0)</f>
        <v>5</v>
      </c>
      <c r="I126">
        <f>IFERROR(VLOOKUP(C126, [2]Sheet1!A:C, 3, FALSE), 0)</f>
        <v>6</v>
      </c>
      <c r="M126">
        <v>-1</v>
      </c>
      <c r="N126">
        <f>IFERROR(VLOOKUP(B126, [4]Sheet1!A:B, 2, FALSE), "")</f>
        <v>8</v>
      </c>
      <c r="O126">
        <f>IFERROR(VLOOKUP(C126, [4]Sheet1!A:B, 2, FALSE), "No Data")</f>
        <v>3</v>
      </c>
    </row>
    <row r="127" spans="1:15" ht="22.2" customHeight="1">
      <c r="A127" t="s">
        <v>181</v>
      </c>
      <c r="B127" t="s">
        <v>76</v>
      </c>
      <c r="C127" t="s">
        <v>9</v>
      </c>
      <c r="D127">
        <f>VLOOKUP(B127, [1]Sheet1!A:B, 2, FALSE)</f>
        <v>13</v>
      </c>
      <c r="E127">
        <f>VLOOKUP(C127, [1]Sheet1!A:B, 2, FALSE)</f>
        <v>8</v>
      </c>
      <c r="F127">
        <f>IFERROR(VLOOKUP(B127, [2]Sheet1!A:C, 2, FALSE), 0)</f>
        <v>5</v>
      </c>
      <c r="G127">
        <f>IFERROR(VLOOKUP(B127, [2]Sheet1!A:D, 3, FALSE), 0)</f>
        <v>6</v>
      </c>
      <c r="H127">
        <f>IFERROR(VLOOKUP(C127, [2]Sheet1!A:C, 2, FALSE), 0)</f>
        <v>5</v>
      </c>
      <c r="I127">
        <f>IFERROR(VLOOKUP(C127, [2]Sheet1!A:C, 3, FALSE), 0)</f>
        <v>6</v>
      </c>
      <c r="M127">
        <v>0</v>
      </c>
      <c r="N127">
        <f>IFERROR(VLOOKUP(B127, [4]Sheet1!A:B, 2, FALSE), "")</f>
        <v>1</v>
      </c>
      <c r="O127">
        <f>IFERROR(VLOOKUP(C127, [4]Sheet1!A:B, 2, FALSE), "No Data")</f>
        <v>3</v>
      </c>
    </row>
    <row r="128" spans="1:15" ht="22.2" customHeight="1">
      <c r="A128" t="s">
        <v>182</v>
      </c>
      <c r="B128" t="s">
        <v>56</v>
      </c>
      <c r="C128" t="s">
        <v>43</v>
      </c>
      <c r="D128">
        <f>VLOOKUP(B128, [1]Sheet1!A:B, 2, FALSE)</f>
        <v>19</v>
      </c>
      <c r="E128">
        <f>VLOOKUP(C128, [1]Sheet1!A:B, 2, FALSE)</f>
        <v>7</v>
      </c>
      <c r="F128">
        <f>IFERROR(VLOOKUP(B128, [2]Sheet1!A:C, 2, FALSE), 0)</f>
        <v>4</v>
      </c>
      <c r="G128">
        <f>IFERROR(VLOOKUP(B128, [2]Sheet1!A:D, 3, FALSE), 0)</f>
        <v>5</v>
      </c>
      <c r="H128">
        <f>IFERROR(VLOOKUP(C128, [2]Sheet1!A:C, 2, FALSE), 0)</f>
        <v>4</v>
      </c>
      <c r="I128">
        <f>IFERROR(VLOOKUP(C128, [2]Sheet1!A:C, 3, FALSE), 0)</f>
        <v>5</v>
      </c>
      <c r="M128">
        <v>1</v>
      </c>
      <c r="N128">
        <f>IFERROR(VLOOKUP(B128, [4]Sheet1!A:B, 2, FALSE), "")</f>
        <v>2</v>
      </c>
      <c r="O128">
        <f>IFERROR(VLOOKUP(C128, [4]Sheet1!A:B, 2, FALSE), "No Data")</f>
        <v>8</v>
      </c>
    </row>
    <row r="129" spans="1:15" ht="22.2" customHeight="1">
      <c r="A129" t="s">
        <v>185</v>
      </c>
      <c r="B129" t="s">
        <v>20</v>
      </c>
      <c r="C129" t="s">
        <v>74</v>
      </c>
      <c r="D129">
        <f>VLOOKUP(B129, [1]Sheet1!A:B, 2, FALSE)</f>
        <v>83</v>
      </c>
      <c r="E129">
        <f>VLOOKUP(C129, [1]Sheet1!A:B, 2, FALSE)</f>
        <v>17</v>
      </c>
      <c r="F129">
        <f>IFERROR(VLOOKUP(B129, [2]Sheet1!A:C, 2, FALSE), 0)</f>
        <v>0</v>
      </c>
      <c r="G129">
        <f>IFERROR(VLOOKUP(B129, [2]Sheet1!A:D, 3, FALSE), 0)</f>
        <v>0</v>
      </c>
      <c r="H129">
        <f>IFERROR(VLOOKUP(C129, [2]Sheet1!A:C, 2, FALSE), 0)</f>
        <v>1</v>
      </c>
      <c r="I129">
        <f>IFERROR(VLOOKUP(C129, [2]Sheet1!A:C, 3, FALSE), 0)</f>
        <v>2</v>
      </c>
      <c r="M129">
        <v>0</v>
      </c>
      <c r="N129">
        <f>IFERROR(VLOOKUP(B129, [4]Sheet1!A:B, 2, FALSE), "no")</f>
        <v>29</v>
      </c>
      <c r="O129">
        <f>IFERROR(VLOOKUP(C129, [4]Sheet1!A:B, 2, FALSE), "No Data")</f>
        <v>14</v>
      </c>
    </row>
    <row r="130" spans="1:15" ht="22.2" customHeight="1">
      <c r="A130" t="s">
        <v>186</v>
      </c>
      <c r="B130" t="s">
        <v>11</v>
      </c>
      <c r="C130" t="s">
        <v>9</v>
      </c>
      <c r="D130">
        <f>VLOOKUP(B130, [1]Sheet1!A:B, 2, FALSE)</f>
        <v>16</v>
      </c>
      <c r="E130">
        <f>VLOOKUP(C130, [1]Sheet1!A:B, 2, FALSE)</f>
        <v>9</v>
      </c>
      <c r="F130">
        <f>IFERROR(VLOOKUP(B130, [2]Sheet1!A:C, 2, FALSE), 0)</f>
        <v>1</v>
      </c>
      <c r="G130">
        <f>IFERROR(VLOOKUP(B130, [2]Sheet1!A:D, 3, FALSE), 0)</f>
        <v>2</v>
      </c>
      <c r="H130">
        <f>IFERROR(VLOOKUP(C130, [2]Sheet1!A:C, 2, FALSE), 0)</f>
        <v>2</v>
      </c>
      <c r="I130">
        <f>IFERROR(VLOOKUP(C130, [2]Sheet1!A:C, 3, FALSE), 0)</f>
        <v>3</v>
      </c>
      <c r="M130">
        <v>0</v>
      </c>
      <c r="N130">
        <f>IFERROR(VLOOKUP(B130, [4]Sheet1!A:B, 2, FALSE), "no")</f>
        <v>7</v>
      </c>
      <c r="O130">
        <f>IFERROR(VLOOKUP(C130, [4]Sheet1!A:B, 2, FALSE), "No Data")</f>
        <v>13</v>
      </c>
    </row>
    <row r="131" spans="1:15" ht="22.2" customHeight="1">
      <c r="A131" t="s">
        <v>187</v>
      </c>
      <c r="B131" t="s">
        <v>20</v>
      </c>
      <c r="C131" t="s">
        <v>11</v>
      </c>
      <c r="D131">
        <f>VLOOKUP(B131, [1]Sheet1!A:B, 2, FALSE)</f>
        <v>83</v>
      </c>
      <c r="E131">
        <f>VLOOKUP(C131, [1]Sheet1!A:B, 2, FALSE)</f>
        <v>16</v>
      </c>
      <c r="F131">
        <f>IFERROR(VLOOKUP(B131, [2]Sheet1!A:C, 2, FALSE), 0)</f>
        <v>0</v>
      </c>
      <c r="G131">
        <f>IFERROR(VLOOKUP(B131, [2]Sheet1!A:D, 3, FALSE), 0)</f>
        <v>0</v>
      </c>
      <c r="H131">
        <f>IFERROR(VLOOKUP(C131, [2]Sheet1!A:C, 2, FALSE), 0)</f>
        <v>1</v>
      </c>
      <c r="I131">
        <f>IFERROR(VLOOKUP(C131, [2]Sheet1!A:C, 3, FALSE), 0)</f>
        <v>2</v>
      </c>
      <c r="M131">
        <v>-1</v>
      </c>
      <c r="N131">
        <f>IFERROR(VLOOKUP(B131, [4]Sheet1!A:B, 2, FALSE), "no")</f>
        <v>29</v>
      </c>
      <c r="O131">
        <f>IFERROR(VLOOKUP(C131, [4]Sheet1!A:B, 2, FALSE), "No Data")</f>
        <v>7</v>
      </c>
    </row>
    <row r="132" spans="1:15" ht="22.2" customHeight="1">
      <c r="A132" t="s">
        <v>188</v>
      </c>
      <c r="B132" t="s">
        <v>9</v>
      </c>
      <c r="C132" t="s">
        <v>74</v>
      </c>
      <c r="D132">
        <f>VLOOKUP(B132, [1]Sheet1!A:B, 2, FALSE)</f>
        <v>9</v>
      </c>
      <c r="E132">
        <f>VLOOKUP(C132, [1]Sheet1!A:B, 2, FALSE)</f>
        <v>17</v>
      </c>
      <c r="F132">
        <f>IFERROR(VLOOKUP(B132, [2]Sheet1!A:C, 2, FALSE), 0)</f>
        <v>2</v>
      </c>
      <c r="G132">
        <f>IFERROR(VLOOKUP(B132, [2]Sheet1!A:D, 3, FALSE), 0)</f>
        <v>3</v>
      </c>
      <c r="H132">
        <f>IFERROR(VLOOKUP(C132, [2]Sheet1!A:C, 2, FALSE), 0)</f>
        <v>1</v>
      </c>
      <c r="I132">
        <f>IFERROR(VLOOKUP(C132, [2]Sheet1!A:C, 3, FALSE), 0)</f>
        <v>2</v>
      </c>
      <c r="M132">
        <v>-1</v>
      </c>
      <c r="N132">
        <f>IFERROR(VLOOKUP(B132, [4]Sheet1!A:B, 2, FALSE), "no")</f>
        <v>13</v>
      </c>
      <c r="O132">
        <f>IFERROR(VLOOKUP(C132, [4]Sheet1!A:B, 2, FALSE), "No Data")</f>
        <v>14</v>
      </c>
    </row>
    <row r="133" spans="1:15" ht="22.2" customHeight="1">
      <c r="A133" t="s">
        <v>189</v>
      </c>
      <c r="B133" t="s">
        <v>74</v>
      </c>
      <c r="C133" t="s">
        <v>11</v>
      </c>
      <c r="D133">
        <f>VLOOKUP(B133, [1]Sheet1!A:B, 2, FALSE)</f>
        <v>17</v>
      </c>
      <c r="E133">
        <f>VLOOKUP(C133, [1]Sheet1!A:B, 2, FALSE)</f>
        <v>16</v>
      </c>
      <c r="F133">
        <f>IFERROR(VLOOKUP(B133, [2]Sheet1!A:C, 2, FALSE), 0)</f>
        <v>1</v>
      </c>
      <c r="G133">
        <f>IFERROR(VLOOKUP(B133, [2]Sheet1!A:D, 3, FALSE), 0)</f>
        <v>2</v>
      </c>
      <c r="H133">
        <f>IFERROR(VLOOKUP(C133, [2]Sheet1!A:C, 2, FALSE), 0)</f>
        <v>1</v>
      </c>
      <c r="I133">
        <f>IFERROR(VLOOKUP(C133, [2]Sheet1!A:C, 3, FALSE), 0)</f>
        <v>2</v>
      </c>
      <c r="M133">
        <v>-1</v>
      </c>
      <c r="N133">
        <f>IFERROR(VLOOKUP(B133, [4]Sheet1!A:B, 2, FALSE), "no")</f>
        <v>14</v>
      </c>
      <c r="O133">
        <f>IFERROR(VLOOKUP(C133, [4]Sheet1!A:B, 2, FALSE), "No Data")</f>
        <v>7</v>
      </c>
    </row>
    <row r="134" spans="1:15" ht="22.2" customHeight="1">
      <c r="A134" t="s">
        <v>190</v>
      </c>
      <c r="B134" t="s">
        <v>9</v>
      </c>
      <c r="C134" t="s">
        <v>20</v>
      </c>
      <c r="D134">
        <f>VLOOKUP(B134, [1]Sheet1!A:B, 2, FALSE)</f>
        <v>9</v>
      </c>
      <c r="E134">
        <f>VLOOKUP(C134, [1]Sheet1!A:B, 2, FALSE)</f>
        <v>83</v>
      </c>
      <c r="F134">
        <f>IFERROR(VLOOKUP(B134, [2]Sheet1!A:C, 2, FALSE), 0)</f>
        <v>2</v>
      </c>
      <c r="G134">
        <f>IFERROR(VLOOKUP(B134, [2]Sheet1!A:D, 3, FALSE), 0)</f>
        <v>3</v>
      </c>
      <c r="H134">
        <f>IFERROR(VLOOKUP(C134, [2]Sheet1!A:C, 2, FALSE), 0)</f>
        <v>0</v>
      </c>
      <c r="I134">
        <f>IFERROR(VLOOKUP(C134, [2]Sheet1!A:C, 3, FALSE), 0)</f>
        <v>0</v>
      </c>
      <c r="M134">
        <v>-1</v>
      </c>
      <c r="N134">
        <f>IFERROR(VLOOKUP(B134, [4]Sheet1!A:B, 2, FALSE), "no")</f>
        <v>13</v>
      </c>
      <c r="O134">
        <f>IFERROR(VLOOKUP(C134, [4]Sheet1!A:B, 2, FALSE), "No Data")</f>
        <v>29</v>
      </c>
    </row>
    <row r="135" spans="1:15" ht="22.2" customHeight="1">
      <c r="A135" t="s">
        <v>191</v>
      </c>
      <c r="B135" t="s">
        <v>39</v>
      </c>
      <c r="C135" t="s">
        <v>192</v>
      </c>
      <c r="D135">
        <f>VLOOKUP(B135, [1]Sheet1!A:B, 2, FALSE)</f>
        <v>47</v>
      </c>
      <c r="E135">
        <f>VLOOKUP(C135, [1]Sheet1!A:B, 2, FALSE)</f>
        <v>13</v>
      </c>
      <c r="F135">
        <f>IFERROR(VLOOKUP(B135, [2]Sheet1!A:C, 2, FALSE), 0)</f>
        <v>0</v>
      </c>
      <c r="G135">
        <f>IFERROR(VLOOKUP(B135, [2]Sheet1!A:D, 3, FALSE), 0)</f>
        <v>1</v>
      </c>
      <c r="H135">
        <f>IFERROR(VLOOKUP(C135, [2]Sheet1!A:C, 2, FALSE), 0)</f>
        <v>0</v>
      </c>
      <c r="I135">
        <f>IFERROR(VLOOKUP(C135, [2]Sheet1!A:C, 3, FALSE), 0)</f>
        <v>1</v>
      </c>
      <c r="M135">
        <v>1</v>
      </c>
      <c r="N135">
        <f>IFERROR(VLOOKUP(B135, [4]Sheet1!A:B, 2, FALSE), "no")</f>
        <v>20</v>
      </c>
      <c r="O135">
        <f>IFERROR(VLOOKUP(C135, [4]Sheet1!A:B, 2, FALSE), "No Data")</f>
        <v>19</v>
      </c>
    </row>
    <row r="136" spans="1:15" ht="22.2" customHeight="1">
      <c r="A136" t="s">
        <v>193</v>
      </c>
      <c r="B136" t="s">
        <v>63</v>
      </c>
      <c r="C136" t="s">
        <v>64</v>
      </c>
      <c r="D136">
        <f>VLOOKUP(B136, [1]Sheet1!A:B, 2, FALSE)</f>
        <v>7</v>
      </c>
      <c r="E136">
        <f>VLOOKUP(C136, [1]Sheet1!A:B, 2, FALSE)</f>
        <v>21</v>
      </c>
      <c r="F136">
        <f>IFERROR(VLOOKUP(B136, [2]Sheet1!A:C, 2, FALSE), 0)</f>
        <v>2</v>
      </c>
      <c r="G136">
        <f>IFERROR(VLOOKUP(B136, [2]Sheet1!A:D, 3, FALSE), 0)</f>
        <v>4</v>
      </c>
      <c r="H136">
        <f>IFERROR(VLOOKUP(C136, [2]Sheet1!A:C, 2, FALSE), 0)</f>
        <v>1</v>
      </c>
      <c r="I136">
        <f>IFERROR(VLOOKUP(C136, [2]Sheet1!A:C, 3, FALSE), 0)</f>
        <v>2</v>
      </c>
      <c r="M136">
        <v>1</v>
      </c>
      <c r="N136">
        <f>IFERROR(VLOOKUP(B136, [4]Sheet1!A:B, 2, FALSE), "no")</f>
        <v>15</v>
      </c>
      <c r="O136">
        <f>IFERROR(VLOOKUP(C136, [4]Sheet1!A:B, 2, FALSE), "No Data")</f>
        <v>31</v>
      </c>
    </row>
    <row r="137" spans="1:15" ht="22.2" customHeight="1">
      <c r="A137" t="s">
        <v>194</v>
      </c>
      <c r="B137" t="s">
        <v>63</v>
      </c>
      <c r="C137" t="s">
        <v>39</v>
      </c>
      <c r="D137">
        <f>VLOOKUP(B137, [1]Sheet1!A:B, 2, FALSE)</f>
        <v>7</v>
      </c>
      <c r="E137">
        <f>VLOOKUP(C137, [1]Sheet1!A:B, 2, FALSE)</f>
        <v>47</v>
      </c>
      <c r="F137">
        <f>IFERROR(VLOOKUP(B137, [2]Sheet1!A:C, 2, FALSE), 0)</f>
        <v>2</v>
      </c>
      <c r="G137">
        <f>IFERROR(VLOOKUP(B137, [2]Sheet1!A:D, 3, FALSE), 0)</f>
        <v>4</v>
      </c>
      <c r="H137">
        <f>IFERROR(VLOOKUP(C137, [2]Sheet1!A:C, 2, FALSE), 0)</f>
        <v>0</v>
      </c>
      <c r="I137">
        <f>IFERROR(VLOOKUP(C137, [2]Sheet1!A:C, 3, FALSE), 0)</f>
        <v>1</v>
      </c>
      <c r="M137">
        <v>1</v>
      </c>
      <c r="N137">
        <f>IFERROR(VLOOKUP(B137, [4]Sheet1!A:B, 2, FALSE), "no")</f>
        <v>15</v>
      </c>
      <c r="O137">
        <f>IFERROR(VLOOKUP(C137, [4]Sheet1!A:B, 2, FALSE), "No Data")</f>
        <v>20</v>
      </c>
    </row>
    <row r="138" spans="1:15" ht="22.2" customHeight="1">
      <c r="A138" t="s">
        <v>195</v>
      </c>
      <c r="B138" t="s">
        <v>192</v>
      </c>
      <c r="C138" t="s">
        <v>64</v>
      </c>
      <c r="D138">
        <f>VLOOKUP(B138, [1]Sheet1!A:B, 2, FALSE)</f>
        <v>13</v>
      </c>
      <c r="E138">
        <f>VLOOKUP(C138, [1]Sheet1!A:B, 2, FALSE)</f>
        <v>21</v>
      </c>
      <c r="F138">
        <f>IFERROR(VLOOKUP(B138, [2]Sheet1!A:C, 2, FALSE), 0)</f>
        <v>0</v>
      </c>
      <c r="G138">
        <f>IFERROR(VLOOKUP(B138, [2]Sheet1!A:D, 3, FALSE), 0)</f>
        <v>1</v>
      </c>
      <c r="H138">
        <f>IFERROR(VLOOKUP(C138, [2]Sheet1!A:C, 2, FALSE), 0)</f>
        <v>1</v>
      </c>
      <c r="I138">
        <f>IFERROR(VLOOKUP(C138, [2]Sheet1!A:C, 3, FALSE), 0)</f>
        <v>2</v>
      </c>
      <c r="M138">
        <v>1</v>
      </c>
      <c r="N138">
        <f>IFERROR(VLOOKUP(B138, [4]Sheet1!A:B, 2, FALSE), "no")</f>
        <v>19</v>
      </c>
      <c r="O138">
        <f>IFERROR(VLOOKUP(C138, [4]Sheet1!A:B, 2, FALSE), "No Data")</f>
        <v>31</v>
      </c>
    </row>
    <row r="139" spans="1:15" ht="22.2" customHeight="1">
      <c r="A139" t="s">
        <v>196</v>
      </c>
      <c r="B139" t="s">
        <v>64</v>
      </c>
      <c r="C139" t="s">
        <v>39</v>
      </c>
      <c r="D139">
        <f>VLOOKUP(B139, [1]Sheet1!A:B, 2, FALSE)</f>
        <v>21</v>
      </c>
      <c r="E139">
        <f>VLOOKUP(C139, [1]Sheet1!A:B, 2, FALSE)</f>
        <v>47</v>
      </c>
      <c r="F139">
        <f>IFERROR(VLOOKUP(B139, [2]Sheet1!A:C, 2, FALSE), 0)</f>
        <v>1</v>
      </c>
      <c r="G139">
        <f>IFERROR(VLOOKUP(B139, [2]Sheet1!A:D, 3, FALSE), 0)</f>
        <v>2</v>
      </c>
      <c r="H139">
        <f>IFERROR(VLOOKUP(C139, [2]Sheet1!A:C, 2, FALSE), 0)</f>
        <v>0</v>
      </c>
      <c r="I139">
        <f>IFERROR(VLOOKUP(C139, [2]Sheet1!A:C, 3, FALSE), 0)</f>
        <v>1</v>
      </c>
      <c r="M139">
        <v>0</v>
      </c>
      <c r="N139">
        <f>IFERROR(VLOOKUP(B139, [4]Sheet1!A:B, 2, FALSE), "no")</f>
        <v>31</v>
      </c>
      <c r="O139">
        <f>IFERROR(VLOOKUP(C139, [4]Sheet1!A:B, 2, FALSE), "No Data")</f>
        <v>20</v>
      </c>
    </row>
    <row r="140" spans="1:15" ht="22.2" customHeight="1">
      <c r="A140" t="s">
        <v>197</v>
      </c>
      <c r="B140" t="s">
        <v>192</v>
      </c>
      <c r="C140" t="s">
        <v>63</v>
      </c>
      <c r="D140">
        <f>VLOOKUP(B140, [1]Sheet1!A:B, 2, FALSE)</f>
        <v>13</v>
      </c>
      <c r="E140">
        <f>VLOOKUP(C140, [1]Sheet1!A:B, 2, FALSE)</f>
        <v>7</v>
      </c>
      <c r="F140">
        <f>IFERROR(VLOOKUP(B140, [2]Sheet1!A:C, 2, FALSE), 0)</f>
        <v>0</v>
      </c>
      <c r="G140">
        <f>IFERROR(VLOOKUP(B140, [2]Sheet1!A:D, 3, FALSE), 0)</f>
        <v>1</v>
      </c>
      <c r="H140">
        <f>IFERROR(VLOOKUP(C140, [2]Sheet1!A:C, 2, FALSE), 0)</f>
        <v>2</v>
      </c>
      <c r="I140">
        <f>IFERROR(VLOOKUP(C140, [2]Sheet1!A:C, 3, FALSE), 0)</f>
        <v>4</v>
      </c>
      <c r="M140">
        <v>-1</v>
      </c>
      <c r="N140">
        <f>IFERROR(VLOOKUP(B140, [4]Sheet1!A:B, 2, FALSE), "no")</f>
        <v>19</v>
      </c>
      <c r="O140">
        <f>IFERROR(VLOOKUP(C140, [4]Sheet1!A:B, 2, FALSE), "No Data")</f>
        <v>15</v>
      </c>
    </row>
    <row r="141" spans="1:15" ht="22.2" customHeight="1">
      <c r="A141" t="s">
        <v>198</v>
      </c>
      <c r="B141" t="s">
        <v>66</v>
      </c>
      <c r="C141" t="s">
        <v>45</v>
      </c>
      <c r="D141">
        <f>VLOOKUP(B141, [1]Sheet1!A:B, 2, FALSE)</f>
        <v>8</v>
      </c>
      <c r="E141">
        <f>VLOOKUP(C141, [1]Sheet1!A:B, 2, FALSE)</f>
        <v>14</v>
      </c>
      <c r="F141">
        <f>IFERROR(VLOOKUP(B141, [2]Sheet1!A:C, 2, FALSE), 0)</f>
        <v>2</v>
      </c>
      <c r="G141">
        <f>IFERROR(VLOOKUP(B141, [2]Sheet1!A:D, 3, FALSE), 0)</f>
        <v>4</v>
      </c>
      <c r="H141">
        <f>IFERROR(VLOOKUP(C141, [2]Sheet1!A:C, 2, FALSE), 0)</f>
        <v>1</v>
      </c>
      <c r="I141">
        <f>IFERROR(VLOOKUP(C141, [2]Sheet1!A:C, 3, FALSE), 0)</f>
        <v>1</v>
      </c>
      <c r="M141">
        <v>0</v>
      </c>
      <c r="N141">
        <f>IFERROR(VLOOKUP(B141, [4]Sheet1!A:B, 2, FALSE), "no")</f>
        <v>12</v>
      </c>
      <c r="O141">
        <f>IFERROR(VLOOKUP(C141, [4]Sheet1!A:B, 2, FALSE), "No Data")</f>
        <v>15</v>
      </c>
    </row>
    <row r="142" spans="1:15" ht="22.2" customHeight="1">
      <c r="A142" t="s">
        <v>199</v>
      </c>
      <c r="B142" t="s">
        <v>200</v>
      </c>
      <c r="C142" t="s">
        <v>23</v>
      </c>
      <c r="D142">
        <f>VLOOKUP(B142, [1]Sheet1!A:B, 2, FALSE)</f>
        <v>30</v>
      </c>
      <c r="E142">
        <f>VLOOKUP(C142, [1]Sheet1!A:B, 2, FALSE)</f>
        <v>25</v>
      </c>
      <c r="F142">
        <f>IFERROR(VLOOKUP(B142, [2]Sheet1!A:C, 2, FALSE), 0)</f>
        <v>0</v>
      </c>
      <c r="G142">
        <f>IFERROR(VLOOKUP(B142, [2]Sheet1!A:D, 3, FALSE), 0)</f>
        <v>0</v>
      </c>
      <c r="H142">
        <f>IFERROR(VLOOKUP(C142, [2]Sheet1!A:C, 2, FALSE), 0)</f>
        <v>0</v>
      </c>
      <c r="I142">
        <f>IFERROR(VLOOKUP(C142, [2]Sheet1!A:C, 3, FALSE), 0)</f>
        <v>0</v>
      </c>
      <c r="M142">
        <v>-1</v>
      </c>
      <c r="N142">
        <f>IFERROR(VLOOKUP(B142, [4]Sheet1!A:B, 2, FALSE), "no")</f>
        <v>22</v>
      </c>
      <c r="O142">
        <f>IFERROR(VLOOKUP(C142, [4]Sheet1!A:B, 2, FALSE), "No Data")</f>
        <v>23</v>
      </c>
    </row>
    <row r="143" spans="1:15" ht="22.2" customHeight="1">
      <c r="A143" t="s">
        <v>201</v>
      </c>
      <c r="B143" t="s">
        <v>23</v>
      </c>
      <c r="C143" t="s">
        <v>45</v>
      </c>
      <c r="D143">
        <f>VLOOKUP(B143, [1]Sheet1!A:B, 2, FALSE)</f>
        <v>25</v>
      </c>
      <c r="E143">
        <f>VLOOKUP(C143, [1]Sheet1!A:B, 2, FALSE)</f>
        <v>14</v>
      </c>
      <c r="F143">
        <f>IFERROR(VLOOKUP(B143, [2]Sheet1!A:C, 2, FALSE), 0)</f>
        <v>0</v>
      </c>
      <c r="G143">
        <f>IFERROR(VLOOKUP(B143, [2]Sheet1!A:D, 3, FALSE), 0)</f>
        <v>0</v>
      </c>
      <c r="H143">
        <f>IFERROR(VLOOKUP(C143, [2]Sheet1!A:C, 2, FALSE), 0)</f>
        <v>14</v>
      </c>
      <c r="I143">
        <f>IFERROR(VLOOKUP(C143, [2]Sheet1!A:C, 3, FALSE), 0)</f>
        <v>0</v>
      </c>
      <c r="M143">
        <v>0</v>
      </c>
      <c r="N143">
        <f>IFERROR(VLOOKUP(B143, [4]Sheet1!A:B, 2, FALSE), "no")</f>
        <v>23</v>
      </c>
      <c r="O143">
        <f>IFERROR(VLOOKUP(C143, [4]Sheet1!A:B, 2, FALSE), "No Data")</f>
        <v>15</v>
      </c>
    </row>
    <row r="144" spans="1:15" ht="22.2" customHeight="1">
      <c r="A144" t="s">
        <v>202</v>
      </c>
      <c r="B144" t="s">
        <v>66</v>
      </c>
      <c r="C144" t="s">
        <v>200</v>
      </c>
      <c r="D144">
        <f>VLOOKUP(B144, [1]Sheet1!A:B, 2, FALSE)</f>
        <v>8</v>
      </c>
      <c r="E144">
        <f>VLOOKUP(C144, [1]Sheet1!A:B, 2, FALSE)</f>
        <v>30</v>
      </c>
      <c r="F144">
        <f>IFERROR(VLOOKUP(B144, [2]Sheet1!A:C, 2, FALSE), 0)</f>
        <v>2</v>
      </c>
      <c r="G144">
        <f>IFERROR(VLOOKUP(B144, [2]Sheet1!A:D, 3, FALSE), 0)</f>
        <v>4</v>
      </c>
      <c r="H144">
        <f>IFERROR(VLOOKUP(C144, [2]Sheet1!A:C, 2, FALSE), 0)</f>
        <v>0</v>
      </c>
      <c r="I144">
        <f>IFERROR(VLOOKUP(C144, [2]Sheet1!A:C, 3, FALSE), 0)</f>
        <v>0</v>
      </c>
      <c r="M144">
        <v>0</v>
      </c>
      <c r="N144">
        <f>IFERROR(VLOOKUP(B144, [4]Sheet1!A:B, 2, FALSE), "no")</f>
        <v>12</v>
      </c>
      <c r="O144">
        <f>IFERROR(VLOOKUP(C144, [4]Sheet1!A:B, 2, FALSE), "No Data")</f>
        <v>22</v>
      </c>
    </row>
    <row r="145" spans="1:15" ht="22.2" customHeight="1">
      <c r="A145" t="s">
        <v>203</v>
      </c>
      <c r="B145" t="s">
        <v>23</v>
      </c>
      <c r="C145" t="s">
        <v>66</v>
      </c>
      <c r="D145">
        <f>VLOOKUP(B145, [1]Sheet1!A:B, 2, FALSE)</f>
        <v>25</v>
      </c>
      <c r="E145">
        <f>VLOOKUP(C145, [1]Sheet1!A:B, 2, FALSE)</f>
        <v>8</v>
      </c>
      <c r="F145">
        <f>IFERROR(VLOOKUP(B145, [2]Sheet1!A:C, 2, FALSE), 0)</f>
        <v>0</v>
      </c>
      <c r="G145">
        <f>IFERROR(VLOOKUP(B145, [2]Sheet1!A:D, 3, FALSE), 0)</f>
        <v>0</v>
      </c>
      <c r="H145">
        <f>IFERROR(VLOOKUP(C145, [2]Sheet1!A:C, 2, FALSE), 0)</f>
        <v>2</v>
      </c>
      <c r="I145">
        <f>IFERROR(VLOOKUP(C145, [2]Sheet1!A:C, 3, FALSE), 0)</f>
        <v>4</v>
      </c>
      <c r="M145">
        <v>-1</v>
      </c>
      <c r="N145">
        <f>IFERROR(VLOOKUP(B145, [4]Sheet1!A:B, 2, FALSE), "no")</f>
        <v>23</v>
      </c>
      <c r="O145">
        <f>IFERROR(VLOOKUP(C145, [4]Sheet1!A:B, 2, FALSE), "No Data")</f>
        <v>12</v>
      </c>
    </row>
    <row r="146" spans="1:15" ht="22.2" customHeight="1">
      <c r="A146" t="s">
        <v>204</v>
      </c>
      <c r="B146" t="s">
        <v>42</v>
      </c>
      <c r="C146" t="s">
        <v>200</v>
      </c>
      <c r="D146">
        <f>VLOOKUP(B146, [1]Sheet1!A:B, 2, FALSE)</f>
        <v>14</v>
      </c>
      <c r="E146">
        <f>VLOOKUP(C146, [1]Sheet1!A:B, 2, FALSE)</f>
        <v>30</v>
      </c>
      <c r="F146">
        <f>IFERROR(VLOOKUP(B146, [2]Sheet1!A:C, 2, FALSE), 0)</f>
        <v>1</v>
      </c>
      <c r="G146">
        <f>IFERROR(VLOOKUP(B146, [2]Sheet1!A:D, 3, FALSE), 0)</f>
        <v>1</v>
      </c>
      <c r="H146">
        <f>IFERROR(VLOOKUP(C146, [2]Sheet1!A:C, 2, FALSE), 0)</f>
        <v>0</v>
      </c>
      <c r="I146">
        <f>IFERROR(VLOOKUP(C146, [2]Sheet1!A:C, 3, FALSE), 0)</f>
        <v>0</v>
      </c>
      <c r="M146">
        <v>1</v>
      </c>
      <c r="N146">
        <f>IFERROR(VLOOKUP(B146, [4]Sheet1!A:B, 2, FALSE), "no")</f>
        <v>15</v>
      </c>
      <c r="O146">
        <f>IFERROR(VLOOKUP(C146, [4]Sheet1!A:B, 2, FALSE), "No Data")</f>
        <v>22</v>
      </c>
    </row>
    <row r="147" spans="1:15" ht="22.2" customHeight="1">
      <c r="A147" t="s">
        <v>205</v>
      </c>
      <c r="B147" t="s">
        <v>122</v>
      </c>
      <c r="C147" t="s">
        <v>140</v>
      </c>
      <c r="D147">
        <f>VLOOKUP(B147, [1]Sheet1!A:B, 2, FALSE)</f>
        <v>15</v>
      </c>
      <c r="E147">
        <f>VLOOKUP(C147, [1]Sheet1!A:B, 2, FALSE)</f>
        <v>32</v>
      </c>
      <c r="F147">
        <f>IFERROR(VLOOKUP(B147, [2]Sheet1!A:C, 2, FALSE), 0)</f>
        <v>0</v>
      </c>
      <c r="G147">
        <f>IFERROR(VLOOKUP(B147, [2]Sheet1!A:D, 3, FALSE), 0)</f>
        <v>1</v>
      </c>
      <c r="H147">
        <f>IFERROR(VLOOKUP(C147, [2]Sheet1!A:C, 2, FALSE), 0)</f>
        <v>1</v>
      </c>
      <c r="I147">
        <f>IFERROR(VLOOKUP(C147, [2]Sheet1!A:C, 3, FALSE), 0)</f>
        <v>2</v>
      </c>
      <c r="M147">
        <v>-1</v>
      </c>
      <c r="N147">
        <f>IFERROR(VLOOKUP(B147, [4]Sheet1!A:B, 2, FALSE), "no")</f>
        <v>25</v>
      </c>
      <c r="O147">
        <f>IFERROR(VLOOKUP(C147, [4]Sheet1!A:B, 2, FALSE), "No Data")</f>
        <v>16</v>
      </c>
    </row>
    <row r="148" spans="1:15" ht="22.2" customHeight="1">
      <c r="A148" t="s">
        <v>206</v>
      </c>
      <c r="B148" t="s">
        <v>56</v>
      </c>
      <c r="C148" t="s">
        <v>146</v>
      </c>
      <c r="D148">
        <f>VLOOKUP(B148, [1]Sheet1!A:B, 2, FALSE)</f>
        <v>6</v>
      </c>
      <c r="E148">
        <f>VLOOKUP(C148, [1]Sheet1!A:B, 2, FALSE)</f>
        <v>20</v>
      </c>
      <c r="F148">
        <f>IFERROR(VLOOKUP(B148, [2]Sheet1!A:C, 2, FALSE), 0)</f>
        <v>2</v>
      </c>
      <c r="G148">
        <f>IFERROR(VLOOKUP(B148, [2]Sheet1!A:D, 3, FALSE), 0)</f>
        <v>4</v>
      </c>
      <c r="H148">
        <f>IFERROR(VLOOKUP(C148, [2]Sheet1!A:C, 2, FALSE), 0)</f>
        <v>0</v>
      </c>
      <c r="I148">
        <f>IFERROR(VLOOKUP(C148, [2]Sheet1!A:C, 3, FALSE), 0)</f>
        <v>1</v>
      </c>
      <c r="M148">
        <v>1</v>
      </c>
      <c r="N148">
        <f>IFERROR(VLOOKUP(B148, [4]Sheet1!A:B, 2, FALSE), "no")</f>
        <v>11</v>
      </c>
      <c r="O148">
        <f>IFERROR(VLOOKUP(C148, [4]Sheet1!A:B, 2, FALSE), "No Data")</f>
        <v>9</v>
      </c>
    </row>
    <row r="149" spans="1:15" ht="22.2" customHeight="1">
      <c r="A149" t="s">
        <v>207</v>
      </c>
      <c r="B149" t="s">
        <v>56</v>
      </c>
      <c r="C149" t="s">
        <v>122</v>
      </c>
      <c r="D149">
        <f>VLOOKUP(B149, [1]Sheet1!A:B, 2, FALSE)</f>
        <v>6</v>
      </c>
      <c r="E149">
        <f>VLOOKUP(C149, [1]Sheet1!A:B, 2, FALSE)</f>
        <v>15</v>
      </c>
      <c r="F149">
        <f>IFERROR(VLOOKUP(B149, [2]Sheet1!A:C, 2, FALSE), 0)</f>
        <v>2</v>
      </c>
      <c r="G149">
        <f>IFERROR(VLOOKUP(B149, [2]Sheet1!A:D, 3, FALSE), 0)</f>
        <v>4</v>
      </c>
      <c r="H149">
        <f>IFERROR(VLOOKUP(C149, [2]Sheet1!A:C, 2, FALSE), 0)</f>
        <v>0</v>
      </c>
      <c r="I149">
        <f>IFERROR(VLOOKUP(C149, [2]Sheet1!A:C, 3, FALSE), 0)</f>
        <v>1</v>
      </c>
      <c r="M149">
        <v>-1</v>
      </c>
      <c r="N149">
        <f>IFERROR(VLOOKUP(B149, [4]Sheet1!A:B, 2, FALSE), "no")</f>
        <v>11</v>
      </c>
      <c r="O149">
        <f>IFERROR(VLOOKUP(C149, [4]Sheet1!A:B, 2, FALSE), "No Data")</f>
        <v>25</v>
      </c>
    </row>
    <row r="150" spans="1:15" ht="22.2" customHeight="1">
      <c r="A150" t="s">
        <v>208</v>
      </c>
      <c r="B150" t="s">
        <v>140</v>
      </c>
      <c r="C150" t="s">
        <v>146</v>
      </c>
      <c r="D150">
        <f>VLOOKUP(B150, [1]Sheet1!A:B, 2, FALSE)</f>
        <v>32</v>
      </c>
      <c r="E150">
        <f>VLOOKUP(C150, [1]Sheet1!A:B, 2, FALSE)</f>
        <v>20</v>
      </c>
      <c r="F150">
        <f>IFERROR(VLOOKUP(B150, [2]Sheet1!A:C, 2, FALSE), 0)</f>
        <v>1</v>
      </c>
      <c r="G150">
        <f>IFERROR(VLOOKUP(B150, [2]Sheet1!A:D, 3, FALSE), 0)</f>
        <v>2</v>
      </c>
      <c r="H150">
        <f>IFERROR(VLOOKUP(C150, [2]Sheet1!A:C, 2, FALSE), 0)</f>
        <v>0</v>
      </c>
      <c r="I150">
        <f>IFERROR(VLOOKUP(C150, [2]Sheet1!A:C, 3, FALSE), 0)</f>
        <v>1</v>
      </c>
      <c r="M150">
        <v>0</v>
      </c>
      <c r="N150">
        <f>IFERROR(VLOOKUP(B150, [4]Sheet1!A:B, 2, FALSE), "no")</f>
        <v>16</v>
      </c>
      <c r="O150">
        <f>IFERROR(VLOOKUP(C150, [4]Sheet1!A:B, 2, FALSE), "No Data")</f>
        <v>9</v>
      </c>
    </row>
    <row r="151" spans="1:15" ht="22.2" customHeight="1">
      <c r="A151" t="s">
        <v>209</v>
      </c>
      <c r="B151" t="s">
        <v>140</v>
      </c>
      <c r="C151" t="s">
        <v>56</v>
      </c>
      <c r="D151">
        <f>VLOOKUP(B151, [1]Sheet1!A:B, 2, FALSE)</f>
        <v>32</v>
      </c>
      <c r="E151">
        <f>VLOOKUP(C151, [1]Sheet1!A:B, 2, FALSE)</f>
        <v>6</v>
      </c>
      <c r="F151">
        <f>IFERROR(VLOOKUP(B151, [2]Sheet1!A:C, 2, FALSE), 0)</f>
        <v>1</v>
      </c>
      <c r="G151">
        <f>IFERROR(VLOOKUP(B151, [2]Sheet1!A:D, 3, FALSE), 0)</f>
        <v>2</v>
      </c>
      <c r="H151">
        <f>IFERROR(VLOOKUP(C151, [2]Sheet1!A:C, 2, FALSE), 0)</f>
        <v>2</v>
      </c>
      <c r="I151">
        <f>IFERROR(VLOOKUP(C151, [2]Sheet1!A:C, 3, FALSE), 0)</f>
        <v>4</v>
      </c>
      <c r="M151">
        <v>-1</v>
      </c>
      <c r="N151">
        <f>IFERROR(VLOOKUP(B151, [4]Sheet1!A:B, 2, FALSE), "no")</f>
        <v>16</v>
      </c>
      <c r="O151">
        <f>IFERROR(VLOOKUP(C151, [4]Sheet1!A:B, 2, FALSE), "No Data")</f>
        <v>11</v>
      </c>
    </row>
    <row r="152" spans="1:15" ht="22.2" customHeight="1">
      <c r="A152" t="s">
        <v>210</v>
      </c>
      <c r="B152" t="s">
        <v>146</v>
      </c>
      <c r="C152" t="s">
        <v>122</v>
      </c>
      <c r="D152">
        <f>VLOOKUP(B152, [1]Sheet1!A:B, 2, FALSE)</f>
        <v>20</v>
      </c>
      <c r="E152">
        <f>VLOOKUP(C152, [1]Sheet1!A:B, 2, FALSE)</f>
        <v>15</v>
      </c>
      <c r="F152">
        <f>IFERROR(VLOOKUP(B152, [2]Sheet1!A:C, 2, FALSE), 0)</f>
        <v>0</v>
      </c>
      <c r="G152">
        <f>IFERROR(VLOOKUP(B152, [2]Sheet1!A:D, 3, FALSE), 0)</f>
        <v>1</v>
      </c>
      <c r="H152">
        <f>IFERROR(VLOOKUP(C152, [2]Sheet1!A:C, 2, FALSE), 0)</f>
        <v>0</v>
      </c>
      <c r="I152">
        <f>IFERROR(VLOOKUP(C152, [2]Sheet1!A:C, 3, FALSE), 0)</f>
        <v>1</v>
      </c>
      <c r="M152">
        <v>1</v>
      </c>
      <c r="N152">
        <f>IFERROR(VLOOKUP(B152, [4]Sheet1!A:B, 2, FALSE), "no")</f>
        <v>9</v>
      </c>
      <c r="O152">
        <f>IFERROR(VLOOKUP(C152, [4]Sheet1!A:B, 2, FALSE), "No Data")</f>
        <v>25</v>
      </c>
    </row>
    <row r="153" spans="1:15" ht="22.2" customHeight="1">
      <c r="A153" t="s">
        <v>211</v>
      </c>
      <c r="B153" t="s">
        <v>123</v>
      </c>
      <c r="C153" t="s">
        <v>12</v>
      </c>
      <c r="D153">
        <f>VLOOKUP(B153, [1]Sheet1!A:B, 2, FALSE)</f>
        <v>4</v>
      </c>
      <c r="E153">
        <f>VLOOKUP(C153, [1]Sheet1!A:B, 2, FALSE)</f>
        <v>36</v>
      </c>
      <c r="F153">
        <f>IFERROR(VLOOKUP(B153, [2]Sheet1!A:C, 2, FALSE), 0)</f>
        <v>3</v>
      </c>
      <c r="G153">
        <f>IFERROR(VLOOKUP(B153, [2]Sheet1!A:D, 3, FALSE), 0)</f>
        <v>5</v>
      </c>
      <c r="H153">
        <f>IFERROR(VLOOKUP(C153, [2]Sheet1!A:C, 2, FALSE), 0)</f>
        <v>1</v>
      </c>
      <c r="I153">
        <f>IFERROR(VLOOKUP(C153, [2]Sheet1!A:C, 3, FALSE), 0)</f>
        <v>2</v>
      </c>
      <c r="M153">
        <v>1</v>
      </c>
      <c r="N153">
        <f>IFERROR(VLOOKUP(B153, [4]Sheet1!A:B, 2, FALSE), "no")</f>
        <v>4</v>
      </c>
      <c r="O153">
        <f>IFERROR(VLOOKUP(C153, [4]Sheet1!A:B, 2, FALSE), "No Data")</f>
        <v>21</v>
      </c>
    </row>
    <row r="154" spans="1:15" ht="22.2" customHeight="1">
      <c r="A154" t="s">
        <v>212</v>
      </c>
      <c r="B154" t="s">
        <v>83</v>
      </c>
      <c r="C154" t="s">
        <v>54</v>
      </c>
      <c r="D154">
        <f>VLOOKUP(B154, [1]Sheet1!A:B, 2, FALSE)</f>
        <v>45</v>
      </c>
      <c r="E154">
        <f>VLOOKUP(C154, [1]Sheet1!A:B, 2, FALSE)</f>
        <v>19</v>
      </c>
      <c r="F154">
        <f>IFERROR(VLOOKUP(B154, [2]Sheet1!A:C, 2, FALSE), 0)</f>
        <v>0</v>
      </c>
      <c r="G154">
        <f>IFERROR(VLOOKUP(B154, [2]Sheet1!A:D, 3, FALSE), 0)</f>
        <v>0</v>
      </c>
      <c r="H154">
        <f>IFERROR(VLOOKUP(C154, [2]Sheet1!A:C, 2, FALSE), 0)</f>
        <v>1</v>
      </c>
      <c r="I154">
        <f>IFERROR(VLOOKUP(C154, [2]Sheet1!A:C, 3, FALSE), 0)</f>
        <v>2</v>
      </c>
      <c r="M154">
        <v>1</v>
      </c>
      <c r="N154">
        <f>IFERROR(VLOOKUP(B154, [4]Sheet1!A:B, 2, FALSE), "no")</f>
        <v>25</v>
      </c>
      <c r="O154">
        <f>IFERROR(VLOOKUP(C154, [4]Sheet1!A:B, 2, FALSE), "No Data")</f>
        <v>17</v>
      </c>
    </row>
    <row r="155" spans="1:15" ht="22.2" customHeight="1">
      <c r="A155" t="s">
        <v>213</v>
      </c>
      <c r="B155" t="s">
        <v>123</v>
      </c>
      <c r="C155" t="s">
        <v>83</v>
      </c>
      <c r="D155">
        <f>VLOOKUP(B155, [1]Sheet1!A:B, 2, FALSE)</f>
        <v>4</v>
      </c>
      <c r="E155">
        <f>VLOOKUP(C155, [1]Sheet1!A:B, 2, FALSE)</f>
        <v>45</v>
      </c>
      <c r="F155">
        <f>IFERROR(VLOOKUP(B155, [2]Sheet1!A:C, 2, FALSE), 0)</f>
        <v>3</v>
      </c>
      <c r="G155">
        <f>IFERROR(VLOOKUP(B155, [2]Sheet1!A:D, 3, FALSE), 0)</f>
        <v>5</v>
      </c>
      <c r="H155">
        <f>IFERROR(VLOOKUP(C155, [2]Sheet1!A:C, 2, FALSE), 0)</f>
        <v>0</v>
      </c>
      <c r="I155">
        <f>IFERROR(VLOOKUP(C155, [2]Sheet1!A:C, 3, FALSE), 0)</f>
        <v>0</v>
      </c>
      <c r="M155">
        <v>1</v>
      </c>
      <c r="N155">
        <f>IFERROR(VLOOKUP(B155, [4]Sheet1!A:B, 2, FALSE), "no")</f>
        <v>4</v>
      </c>
      <c r="O155">
        <f>IFERROR(VLOOKUP(C155, [4]Sheet1!A:B, 2, FALSE), "No Data")</f>
        <v>25</v>
      </c>
    </row>
    <row r="156" spans="1:15" ht="22.2" customHeight="1">
      <c r="A156" t="s">
        <v>214</v>
      </c>
      <c r="B156" t="s">
        <v>54</v>
      </c>
      <c r="C156" t="s">
        <v>12</v>
      </c>
      <c r="D156">
        <f>VLOOKUP(B156, [1]Sheet1!A:B, 2, FALSE)</f>
        <v>19</v>
      </c>
      <c r="E156">
        <f>VLOOKUP(C156, [1]Sheet1!A:B, 2, FALSE)</f>
        <v>36</v>
      </c>
      <c r="F156">
        <f>IFERROR(VLOOKUP(B156, [2]Sheet1!A:C, 2, FALSE), 0)</f>
        <v>1</v>
      </c>
      <c r="G156">
        <f>IFERROR(VLOOKUP(B156, [2]Sheet1!A:D, 3, FALSE), 0)</f>
        <v>2</v>
      </c>
      <c r="H156">
        <f>IFERROR(VLOOKUP(C156, [2]Sheet1!A:C, 2, FALSE), 0)</f>
        <v>1</v>
      </c>
      <c r="I156">
        <f>IFERROR(VLOOKUP(C156, [2]Sheet1!A:C, 3, FALSE), 0)</f>
        <v>2</v>
      </c>
      <c r="M156">
        <v>-1</v>
      </c>
      <c r="N156">
        <f>IFERROR(VLOOKUP(B156, [4]Sheet1!A:B, 2, FALSE), "no")</f>
        <v>17</v>
      </c>
      <c r="O156">
        <f>IFERROR(VLOOKUP(C156, [4]Sheet1!A:B, 2, FALSE), "No Data")</f>
        <v>21</v>
      </c>
    </row>
    <row r="157" spans="1:15" ht="22.2" customHeight="1">
      <c r="A157" t="s">
        <v>215</v>
      </c>
      <c r="B157" t="s">
        <v>12</v>
      </c>
      <c r="C157" t="s">
        <v>83</v>
      </c>
      <c r="D157">
        <f>VLOOKUP(B157, [1]Sheet1!A:B, 2, FALSE)</f>
        <v>36</v>
      </c>
      <c r="E157">
        <f>VLOOKUP(C157, [1]Sheet1!A:B, 2, FALSE)</f>
        <v>45</v>
      </c>
      <c r="F157">
        <f>IFERROR(VLOOKUP(B157, [2]Sheet1!A:C, 2, FALSE), 0)</f>
        <v>1</v>
      </c>
      <c r="G157">
        <f>IFERROR(VLOOKUP(B157, [2]Sheet1!A:D, 3, FALSE), 0)</f>
        <v>2</v>
      </c>
      <c r="H157">
        <f>IFERROR(VLOOKUP(C157, [2]Sheet1!A:C, 2, FALSE), 0)</f>
        <v>0</v>
      </c>
      <c r="I157">
        <f>IFERROR(VLOOKUP(C157, [2]Sheet1!A:C, 3, FALSE), 0)</f>
        <v>0</v>
      </c>
      <c r="M157">
        <v>-1</v>
      </c>
      <c r="N157">
        <f>IFERROR(VLOOKUP(B157, [4]Sheet1!A:B, 2, FALSE), "no")</f>
        <v>21</v>
      </c>
      <c r="O157">
        <f>IFERROR(VLOOKUP(C157, [4]Sheet1!A:B, 2, FALSE), "No Data")</f>
        <v>25</v>
      </c>
    </row>
    <row r="158" spans="1:15" ht="22.2" customHeight="1">
      <c r="A158" t="s">
        <v>216</v>
      </c>
      <c r="B158" t="s">
        <v>54</v>
      </c>
      <c r="C158" t="s">
        <v>123</v>
      </c>
      <c r="D158">
        <f>VLOOKUP(B158, [1]Sheet1!A:B, 2, FALSE)</f>
        <v>19</v>
      </c>
      <c r="E158">
        <f>VLOOKUP(C158, [1]Sheet1!A:B, 2, FALSE)</f>
        <v>4</v>
      </c>
      <c r="F158">
        <f>IFERROR(VLOOKUP(B158, [2]Sheet1!A:C, 2, FALSE), 0)</f>
        <v>1</v>
      </c>
      <c r="G158">
        <f>IFERROR(VLOOKUP(B158, [2]Sheet1!A:D, 3, FALSE), 0)</f>
        <v>2</v>
      </c>
      <c r="H158">
        <f>IFERROR(VLOOKUP(C158, [2]Sheet1!A:C, 2, FALSE), 0)</f>
        <v>3</v>
      </c>
      <c r="I158">
        <f>IFERROR(VLOOKUP(C158, [2]Sheet1!A:C, 3, FALSE), 0)</f>
        <v>5</v>
      </c>
      <c r="M158">
        <v>-1</v>
      </c>
      <c r="N158">
        <f>IFERROR(VLOOKUP(B158, [4]Sheet1!A:B, 2, FALSE), "no")</f>
        <v>17</v>
      </c>
      <c r="O158">
        <f>IFERROR(VLOOKUP(C158, [4]Sheet1!A:B, 2, FALSE), "No Data")</f>
        <v>4</v>
      </c>
    </row>
    <row r="159" spans="1:15" ht="22.2" customHeight="1">
      <c r="A159" t="s">
        <v>217</v>
      </c>
      <c r="B159" t="s">
        <v>76</v>
      </c>
      <c r="C159" t="s">
        <v>19</v>
      </c>
      <c r="D159">
        <f>VLOOKUP(B159, [1]Sheet1!A:B, 2, FALSE)</f>
        <v>5</v>
      </c>
      <c r="E159">
        <f>VLOOKUP(C159, [1]Sheet1!A:B, 2, FALSE)</f>
        <v>31</v>
      </c>
      <c r="F159">
        <f>IFERROR(VLOOKUP(B159, [2]Sheet1!A:C, 2, FALSE), 0)</f>
        <v>2</v>
      </c>
      <c r="G159">
        <f>IFERROR(VLOOKUP(B159, [2]Sheet1!A:D, 3, FALSE), 0)</f>
        <v>3</v>
      </c>
      <c r="H159">
        <f>IFERROR(VLOOKUP(C159, [2]Sheet1!A:C, 2, FALSE), 0)</f>
        <v>0</v>
      </c>
      <c r="I159">
        <f>IFERROR(VLOOKUP(C159, [2]Sheet1!A:C, 3, FALSE), 0)</f>
        <v>1</v>
      </c>
      <c r="M159">
        <v>0</v>
      </c>
      <c r="N159">
        <f>IFERROR(VLOOKUP(B159, [4]Sheet1!A:B, 2, FALSE), "no")</f>
        <v>9</v>
      </c>
      <c r="O159">
        <f>IFERROR(VLOOKUP(C159, [4]Sheet1!A:B, 2, FALSE), "No Data")</f>
        <v>18</v>
      </c>
    </row>
    <row r="160" spans="1:15" ht="22.2" customHeight="1">
      <c r="A160" t="s">
        <v>218</v>
      </c>
      <c r="B160" t="s">
        <v>219</v>
      </c>
      <c r="C160" t="s">
        <v>220</v>
      </c>
      <c r="D160">
        <f>VLOOKUP(B160, [1]Sheet1!A:B, 2, FALSE)</f>
        <v>78</v>
      </c>
      <c r="E160">
        <f>VLOOKUP(C160, [1]Sheet1!A:B, 2, FALSE)</f>
        <v>34</v>
      </c>
      <c r="F160">
        <f>IFERROR(VLOOKUP(B160, [2]Sheet1!A:C, 2, FALSE), 0)</f>
        <v>0</v>
      </c>
      <c r="G160">
        <f>IFERROR(VLOOKUP(B160, [2]Sheet1!A:D, 3, FALSE), 0)</f>
        <v>0</v>
      </c>
      <c r="H160">
        <f>IFERROR(VLOOKUP(C160, [2]Sheet1!A:C, 2, FALSE), 0)</f>
        <v>0</v>
      </c>
      <c r="I160">
        <f>IFERROR(VLOOKUP(C160, [2]Sheet1!A:C, 3, FALSE), 0)</f>
        <v>0</v>
      </c>
      <c r="M160">
        <v>0</v>
      </c>
      <c r="N160">
        <f>IFERROR(VLOOKUP(B160, [4]Sheet1!A:B, 2, FALSE), "no")</f>
        <v>30</v>
      </c>
      <c r="O160">
        <f>IFERROR(VLOOKUP(C160, [4]Sheet1!A:B, 2, FALSE), "No Data")</f>
        <v>26</v>
      </c>
    </row>
    <row r="161" spans="1:15" ht="22.2" customHeight="1">
      <c r="A161" t="s">
        <v>221</v>
      </c>
      <c r="B161" t="s">
        <v>220</v>
      </c>
      <c r="C161" t="s">
        <v>19</v>
      </c>
      <c r="D161">
        <f>VLOOKUP(B161, [1]Sheet1!A:B, 2, FALSE)</f>
        <v>34</v>
      </c>
      <c r="E161">
        <f>VLOOKUP(C161, [1]Sheet1!A:B, 2, FALSE)</f>
        <v>31</v>
      </c>
      <c r="F161">
        <f>IFERROR(VLOOKUP(B161, [2]Sheet1!A:C, 2, FALSE), 0)</f>
        <v>0</v>
      </c>
      <c r="G161">
        <f>IFERROR(VLOOKUP(B161, [2]Sheet1!A:D, 3, FALSE), 0)</f>
        <v>0</v>
      </c>
      <c r="H161">
        <f>IFERROR(VLOOKUP(C161, [2]Sheet1!A:C, 2, FALSE), 0)</f>
        <v>0</v>
      </c>
      <c r="I161">
        <f>IFERROR(VLOOKUP(C161, [2]Sheet1!A:C, 3, FALSE), 0)</f>
        <v>1</v>
      </c>
      <c r="M161">
        <v>-1</v>
      </c>
      <c r="N161">
        <f>IFERROR(VLOOKUP(B161, [4]Sheet1!A:B, 2, FALSE), "no")</f>
        <v>26</v>
      </c>
      <c r="O161">
        <f>IFERROR(VLOOKUP(C161, [4]Sheet1!A:B, 2, FALSE), "No Data")</f>
        <v>18</v>
      </c>
    </row>
    <row r="162" spans="1:15" ht="22.2" customHeight="1">
      <c r="A162" t="s">
        <v>222</v>
      </c>
      <c r="B162" t="s">
        <v>76</v>
      </c>
      <c r="C162" t="s">
        <v>219</v>
      </c>
      <c r="D162">
        <f>VLOOKUP(B162, [1]Sheet1!A:B, 2, FALSE)</f>
        <v>5</v>
      </c>
      <c r="E162">
        <f>VLOOKUP(C162, [1]Sheet1!A:B, 2, FALSE)</f>
        <v>78</v>
      </c>
      <c r="F162">
        <f>IFERROR(VLOOKUP(B162, [2]Sheet1!A:C, 2, FALSE), 0)</f>
        <v>2</v>
      </c>
      <c r="G162">
        <f>IFERROR(VLOOKUP(B162, [2]Sheet1!A:D, 3, FALSE), 0)</f>
        <v>3</v>
      </c>
      <c r="H162">
        <f>IFERROR(VLOOKUP(C162, [2]Sheet1!A:C, 2, FALSE), 0)</f>
        <v>0</v>
      </c>
      <c r="I162">
        <f>IFERROR(VLOOKUP(C162, [2]Sheet1!A:C, 3, FALSE), 0)</f>
        <v>0</v>
      </c>
      <c r="M162">
        <v>0</v>
      </c>
      <c r="N162">
        <f>IFERROR(VLOOKUP(B162, [4]Sheet1!A:B, 2, FALSE), "no")</f>
        <v>9</v>
      </c>
      <c r="O162">
        <f>IFERROR(VLOOKUP(C162, [4]Sheet1!A:B, 2, FALSE), "No Data")</f>
        <v>30</v>
      </c>
    </row>
    <row r="163" spans="1:15" ht="22.2" customHeight="1">
      <c r="A163" t="s">
        <v>223</v>
      </c>
      <c r="B163" t="s">
        <v>220</v>
      </c>
      <c r="C163" t="s">
        <v>76</v>
      </c>
      <c r="D163">
        <f>VLOOKUP(B163, [1]Sheet1!A:B, 2, FALSE)</f>
        <v>34</v>
      </c>
      <c r="E163">
        <f>VLOOKUP(C163, [1]Sheet1!A:B, 2, FALSE)</f>
        <v>5</v>
      </c>
      <c r="F163">
        <f>IFERROR(VLOOKUP(B163, [2]Sheet1!A:C, 2, FALSE), 0)</f>
        <v>0</v>
      </c>
      <c r="G163">
        <f>IFERROR(VLOOKUP(B163, [2]Sheet1!A:D, 3, FALSE), 0)</f>
        <v>0</v>
      </c>
      <c r="H163">
        <f>IFERROR(VLOOKUP(C163, [2]Sheet1!A:C, 2, FALSE), 0)</f>
        <v>2</v>
      </c>
      <c r="I163">
        <f>IFERROR(VLOOKUP(C163, [2]Sheet1!A:C, 3, FALSE), 0)</f>
        <v>3</v>
      </c>
      <c r="M163">
        <v>1</v>
      </c>
      <c r="N163">
        <f>IFERROR(VLOOKUP(B163, [4]Sheet1!A:B, 2, FALSE), "no")</f>
        <v>26</v>
      </c>
      <c r="O163">
        <f>IFERROR(VLOOKUP(C163, [4]Sheet1!A:B, 2, FALSE), "No Data")</f>
        <v>9</v>
      </c>
    </row>
    <row r="164" spans="1:15" ht="22.2" customHeight="1">
      <c r="A164" t="s">
        <v>224</v>
      </c>
      <c r="B164" t="s">
        <v>19</v>
      </c>
      <c r="C164" t="s">
        <v>219</v>
      </c>
      <c r="D164">
        <f>VLOOKUP(B164, [1]Sheet1!A:B, 2, FALSE)</f>
        <v>31</v>
      </c>
      <c r="E164">
        <f>VLOOKUP(C164, [1]Sheet1!A:B, 2, FALSE)</f>
        <v>78</v>
      </c>
      <c r="F164">
        <f>IFERROR(VLOOKUP(B164, [2]Sheet1!A:C, 2, FALSE), 0)</f>
        <v>0</v>
      </c>
      <c r="G164">
        <f>IFERROR(VLOOKUP(B164, [2]Sheet1!A:D, 3, FALSE), 0)</f>
        <v>1</v>
      </c>
      <c r="H164">
        <f>IFERROR(VLOOKUP(C164, [2]Sheet1!A:C, 2, FALSE), 0)</f>
        <v>0</v>
      </c>
      <c r="I164">
        <f>IFERROR(VLOOKUP(C164, [2]Sheet1!A:C, 3, FALSE), 0)</f>
        <v>0</v>
      </c>
      <c r="M164">
        <v>0</v>
      </c>
      <c r="N164">
        <f>IFERROR(VLOOKUP(B164, [4]Sheet1!A:B, 2, FALSE), "no")</f>
        <v>18</v>
      </c>
      <c r="O164">
        <f>IFERROR(VLOOKUP(C164, [4]Sheet1!A:B, 2, FALSE), "No Data")</f>
        <v>30</v>
      </c>
    </row>
    <row r="165" spans="1:15" ht="22.2" customHeight="1">
      <c r="A165" t="s">
        <v>225</v>
      </c>
      <c r="B165" t="s">
        <v>120</v>
      </c>
      <c r="C165" t="s">
        <v>43</v>
      </c>
      <c r="D165">
        <f>VLOOKUP(B165, [1]Sheet1!A:B, 2, FALSE)</f>
        <v>27</v>
      </c>
      <c r="E165">
        <f>VLOOKUP(C165, [1]Sheet1!A:B, 2, FALSE)</f>
        <v>3</v>
      </c>
      <c r="F165">
        <f>IFERROR(VLOOKUP(B165, [2]Sheet1!A:C, 2, FALSE), 0)</f>
        <v>2</v>
      </c>
      <c r="G165">
        <f>IFERROR(VLOOKUP(B165, [2]Sheet1!A:D, 3, FALSE), 0)</f>
        <v>3</v>
      </c>
      <c r="H165">
        <f>IFERROR(VLOOKUP(C165, [2]Sheet1!A:C, 2, FALSE), 0)</f>
        <v>2</v>
      </c>
      <c r="I165">
        <f>IFERROR(VLOOKUP(C165, [2]Sheet1!A:C, 3, FALSE), 0)</f>
        <v>4</v>
      </c>
      <c r="M165">
        <v>0</v>
      </c>
      <c r="N165">
        <f>IFERROR(VLOOKUP(B165, [4]Sheet1!A:B, 2, FALSE), "no")</f>
        <v>18</v>
      </c>
      <c r="O165">
        <f>IFERROR(VLOOKUP(C165, [4]Sheet1!A:B, 2, FALSE), "No Data")</f>
        <v>8</v>
      </c>
    </row>
    <row r="166" spans="1:15" ht="22.2" customHeight="1">
      <c r="A166" t="s">
        <v>226</v>
      </c>
      <c r="B166" t="s">
        <v>29</v>
      </c>
      <c r="C166" t="s">
        <v>227</v>
      </c>
      <c r="D166">
        <f>VLOOKUP(B166, [1]Sheet1!A:B, 2, FALSE)</f>
        <v>1</v>
      </c>
      <c r="E166">
        <f>VLOOKUP(C166, [1]Sheet1!A:B, 2, FALSE)</f>
        <v>105</v>
      </c>
      <c r="F166">
        <f>IFERROR(VLOOKUP(B166, [2]Sheet1!A:C, 2, FALSE), 0)</f>
        <v>3</v>
      </c>
      <c r="G166">
        <f>IFERROR(VLOOKUP(B166, [2]Sheet1!A:D, 3, FALSE), 0)</f>
        <v>6</v>
      </c>
      <c r="H166">
        <f>IFERROR(VLOOKUP(C166, [2]Sheet1!A:C, 2, FALSE), 0)</f>
        <v>0</v>
      </c>
      <c r="I166">
        <f>IFERROR(VLOOKUP(C166, [2]Sheet1!A:C, 3, FALSE), 0)</f>
        <v>0</v>
      </c>
      <c r="M166">
        <v>1</v>
      </c>
      <c r="N166">
        <f>IFERROR(VLOOKUP(B166, [4]Sheet1!A:B, 2, FALSE), "no")</f>
        <v>2</v>
      </c>
      <c r="O166">
        <f>IFERROR(VLOOKUP(C166, [4]Sheet1!A:B, 2, FALSE), "No Data")</f>
        <v>28</v>
      </c>
    </row>
    <row r="167" spans="1:15" ht="22.2" customHeight="1">
      <c r="A167" t="s">
        <v>228</v>
      </c>
      <c r="B167" t="s">
        <v>29</v>
      </c>
      <c r="C167" t="s">
        <v>120</v>
      </c>
      <c r="D167">
        <f>VLOOKUP(B167, [1]Sheet1!A:B, 2, FALSE)</f>
        <v>1</v>
      </c>
      <c r="E167">
        <f>VLOOKUP(C167, [1]Sheet1!A:B, 2, FALSE)</f>
        <v>27</v>
      </c>
      <c r="F167">
        <f>IFERROR(VLOOKUP(B167, [2]Sheet1!A:C, 2, FALSE), 0)</f>
        <v>3</v>
      </c>
      <c r="G167">
        <f>IFERROR(VLOOKUP(B167, [2]Sheet1!A:D, 3, FALSE), 0)</f>
        <v>6</v>
      </c>
      <c r="H167">
        <f>IFERROR(VLOOKUP(C167, [2]Sheet1!A:C, 2, FALSE), 0)</f>
        <v>2</v>
      </c>
      <c r="I167">
        <f>IFERROR(VLOOKUP(C167, [2]Sheet1!A:C, 3, FALSE), 0)</f>
        <v>3</v>
      </c>
      <c r="M167">
        <v>1</v>
      </c>
      <c r="N167">
        <f>IFERROR(VLOOKUP(B167, [4]Sheet1!A:B, 2, FALSE), "no")</f>
        <v>2</v>
      </c>
      <c r="O167">
        <f>IFERROR(VLOOKUP(C167, [4]Sheet1!A:B, 2, FALSE), "No Data")</f>
        <v>18</v>
      </c>
    </row>
    <row r="168" spans="1:15" ht="22.2" customHeight="1">
      <c r="A168" t="s">
        <v>229</v>
      </c>
      <c r="B168" t="s">
        <v>43</v>
      </c>
      <c r="C168" t="s">
        <v>227</v>
      </c>
      <c r="D168">
        <f>VLOOKUP(B168, [1]Sheet1!A:B, 2, FALSE)</f>
        <v>3</v>
      </c>
      <c r="E168">
        <f>VLOOKUP(C168, [1]Sheet1!A:B, 2, FALSE)</f>
        <v>105</v>
      </c>
      <c r="F168">
        <f>IFERROR(VLOOKUP(B168, [2]Sheet1!A:C, 2, FALSE), 0)</f>
        <v>2</v>
      </c>
      <c r="G168">
        <f>IFERROR(VLOOKUP(B168, [2]Sheet1!A:D, 3, FALSE), 0)</f>
        <v>4</v>
      </c>
      <c r="H168">
        <f>IFERROR(VLOOKUP(C168, [2]Sheet1!A:C, 2, FALSE), 0)</f>
        <v>0</v>
      </c>
      <c r="I168">
        <f>IFERROR(VLOOKUP(C168, [2]Sheet1!A:C, 3, FALSE), 0)</f>
        <v>0</v>
      </c>
      <c r="M168">
        <v>1</v>
      </c>
      <c r="N168">
        <f>IFERROR(VLOOKUP(B168, [4]Sheet1!A:B, 2, FALSE), "no")</f>
        <v>8</v>
      </c>
      <c r="O168">
        <f>IFERROR(VLOOKUP(C168, [4]Sheet1!A:B, 2, FALSE), "No Data")</f>
        <v>28</v>
      </c>
    </row>
    <row r="169" spans="1:15" ht="22.2" customHeight="1">
      <c r="A169" t="s">
        <v>230</v>
      </c>
      <c r="B169" t="s">
        <v>43</v>
      </c>
      <c r="C169" t="s">
        <v>29</v>
      </c>
      <c r="D169">
        <f>VLOOKUP(B169, [1]Sheet1!A:B, 2, FALSE)</f>
        <v>3</v>
      </c>
      <c r="E169">
        <f>VLOOKUP(C169, [1]Sheet1!A:B, 2, FALSE)</f>
        <v>1</v>
      </c>
      <c r="F169">
        <f>IFERROR(VLOOKUP(B169, [2]Sheet1!A:C, 2, FALSE), 0)</f>
        <v>2</v>
      </c>
      <c r="G169">
        <f>IFERROR(VLOOKUP(B169, [2]Sheet1!A:D, 3, FALSE), 0)</f>
        <v>4</v>
      </c>
      <c r="H169">
        <f>IFERROR(VLOOKUP(C169, [2]Sheet1!A:C, 2, FALSE), 0)</f>
        <v>3</v>
      </c>
      <c r="I169">
        <f>IFERROR(VLOOKUP(C169, [2]Sheet1!A:C, 3, FALSE), 0)</f>
        <v>6</v>
      </c>
      <c r="M169">
        <v>0</v>
      </c>
      <c r="N169">
        <f>IFERROR(VLOOKUP(B169, [4]Sheet1!A:B, 2, FALSE), "no")</f>
        <v>8</v>
      </c>
      <c r="O169">
        <f>IFERROR(VLOOKUP(C169, [4]Sheet1!A:B, 2, FALSE), "No Data")</f>
        <v>2</v>
      </c>
    </row>
    <row r="170" spans="1:15" ht="22.2" customHeight="1">
      <c r="A170" t="s">
        <v>231</v>
      </c>
      <c r="B170" t="s">
        <v>227</v>
      </c>
      <c r="C170" t="s">
        <v>120</v>
      </c>
      <c r="D170">
        <f>VLOOKUP(B170, [1]Sheet1!A:B, 2, FALSE)</f>
        <v>105</v>
      </c>
      <c r="E170">
        <f>VLOOKUP(C170, [1]Sheet1!A:B, 2, FALSE)</f>
        <v>27</v>
      </c>
      <c r="F170">
        <f>IFERROR(VLOOKUP(B170, [2]Sheet1!A:C, 2, FALSE), 0)</f>
        <v>0</v>
      </c>
      <c r="G170">
        <f>IFERROR(VLOOKUP(B170, [2]Sheet1!A:D, 3, FALSE), 0)</f>
        <v>0</v>
      </c>
      <c r="H170">
        <f>IFERROR(VLOOKUP(C170, [2]Sheet1!A:C, 2, FALSE), 0)</f>
        <v>2</v>
      </c>
      <c r="I170">
        <f>IFERROR(VLOOKUP(C170, [2]Sheet1!A:C, 3, FALSE), 0)</f>
        <v>3</v>
      </c>
      <c r="M170">
        <v>-1</v>
      </c>
      <c r="N170">
        <f>IFERROR(VLOOKUP(B170, [4]Sheet1!A:B, 2, FALSE), "no")</f>
        <v>28</v>
      </c>
      <c r="O170">
        <f>IFERROR(VLOOKUP(C170, [4]Sheet1!A:B, 2, FALSE), "No Data")</f>
        <v>18</v>
      </c>
    </row>
    <row r="171" spans="1:15" ht="22.2" customHeight="1">
      <c r="A171" t="s">
        <v>232</v>
      </c>
      <c r="B171" t="s">
        <v>233</v>
      </c>
      <c r="C171" t="s">
        <v>234</v>
      </c>
      <c r="D171">
        <f>VLOOKUP(B171, [1]Sheet1!A:B, 2, FALSE)</f>
        <v>38</v>
      </c>
      <c r="E171">
        <f>VLOOKUP(C171, [1]Sheet1!A:B, 2, FALSE)</f>
        <v>18</v>
      </c>
      <c r="F171">
        <f>IFERROR(VLOOKUP(B171, [2]Sheet1!A:C, 2, FALSE), 0)</f>
        <v>0</v>
      </c>
      <c r="G171">
        <f>IFERROR(VLOOKUP(B171, [2]Sheet1!A:D, 3, FALSE), 0)</f>
        <v>0</v>
      </c>
      <c r="H171">
        <f>IFERROR(VLOOKUP(C171, [2]Sheet1!A:C, 2, FALSE), 0)</f>
        <v>1</v>
      </c>
      <c r="I171">
        <f>IFERROR(VLOOKUP(C171, [2]Sheet1!A:C, 3, FALSE), 0)</f>
        <v>2</v>
      </c>
      <c r="M171">
        <v>-1</v>
      </c>
      <c r="N171">
        <f>IFERROR(VLOOKUP(B171, [4]Sheet1!A:B, 2, FALSE), "no")</f>
        <v>27</v>
      </c>
      <c r="O171">
        <f>IFERROR(VLOOKUP(C171, [4]Sheet1!A:B, 2, FALSE), "No Data")</f>
        <v>19</v>
      </c>
    </row>
    <row r="172" spans="1:15" ht="22.2" customHeight="1">
      <c r="A172" t="s">
        <v>235</v>
      </c>
      <c r="B172" t="s">
        <v>22</v>
      </c>
      <c r="C172" t="s">
        <v>155</v>
      </c>
      <c r="D172">
        <f>VLOOKUP(B172, [1]Sheet1!A:B, 2, FALSE)</f>
        <v>2</v>
      </c>
      <c r="E172">
        <f>VLOOKUP(C172, [1]Sheet1!A:B, 2, FALSE)</f>
        <v>24</v>
      </c>
      <c r="F172">
        <f>IFERROR(VLOOKUP(B172, [2]Sheet1!A:C, 2, FALSE), 0)</f>
        <v>4</v>
      </c>
      <c r="G172">
        <f>IFERROR(VLOOKUP(B172, [2]Sheet1!A:D, 3, FALSE), 0)</f>
        <v>6</v>
      </c>
      <c r="H172">
        <f>IFERROR(VLOOKUP(C172, [2]Sheet1!A:C, 2, FALSE), 0)</f>
        <v>0</v>
      </c>
      <c r="I172">
        <f>IFERROR(VLOOKUP(C172, [2]Sheet1!A:C, 3, FALSE), 0)</f>
        <v>1</v>
      </c>
      <c r="M172">
        <v>-1</v>
      </c>
      <c r="N172">
        <f>IFERROR(VLOOKUP(B172, [4]Sheet1!A:B, 2, FALSE), "no")</f>
        <v>1</v>
      </c>
      <c r="O172">
        <f>IFERROR(VLOOKUP(C172, [4]Sheet1!A:B, 2, FALSE), "No Data")</f>
        <v>24</v>
      </c>
    </row>
    <row r="173" spans="1:15" ht="22.2" customHeight="1">
      <c r="A173" t="s">
        <v>236</v>
      </c>
      <c r="B173" t="s">
        <v>234</v>
      </c>
      <c r="C173" t="s">
        <v>155</v>
      </c>
      <c r="D173">
        <f>VLOOKUP(B173, [1]Sheet1!A:B, 2, FALSE)</f>
        <v>18</v>
      </c>
      <c r="E173">
        <f>VLOOKUP(C173, [1]Sheet1!A:B, 2, FALSE)</f>
        <v>24</v>
      </c>
      <c r="F173">
        <f>IFERROR(VLOOKUP(B173, [2]Sheet1!A:C, 2, FALSE), 0)</f>
        <v>1</v>
      </c>
      <c r="G173">
        <f>IFERROR(VLOOKUP(B173, [2]Sheet1!A:D, 3, FALSE), 0)</f>
        <v>2</v>
      </c>
      <c r="H173">
        <f>IFERROR(VLOOKUP(C173, [2]Sheet1!A:C, 2, FALSE), 0)</f>
        <v>0</v>
      </c>
      <c r="I173">
        <f>IFERROR(VLOOKUP(C173, [2]Sheet1!A:C, 3, FALSE), 0)</f>
        <v>1</v>
      </c>
      <c r="M173">
        <v>1</v>
      </c>
      <c r="N173">
        <f>IFERROR(VLOOKUP(B173, [4]Sheet1!A:B, 2, FALSE), "no")</f>
        <v>19</v>
      </c>
      <c r="O173">
        <f>IFERROR(VLOOKUP(C173, [4]Sheet1!A:B, 2, FALSE), "No Data")</f>
        <v>24</v>
      </c>
    </row>
    <row r="174" spans="1:15" ht="22.2" customHeight="1">
      <c r="A174" t="s">
        <v>237</v>
      </c>
      <c r="B174" t="s">
        <v>22</v>
      </c>
      <c r="C174" t="s">
        <v>233</v>
      </c>
      <c r="D174">
        <f>VLOOKUP(B174, [1]Sheet1!A:B, 2, FALSE)</f>
        <v>2</v>
      </c>
      <c r="E174">
        <f>VLOOKUP(C174, [1]Sheet1!A:B, 2, FALSE)</f>
        <v>38</v>
      </c>
      <c r="F174">
        <f>IFERROR(VLOOKUP(B174, [2]Sheet1!A:C, 2, FALSE), 0)</f>
        <v>4</v>
      </c>
      <c r="G174">
        <f>IFERROR(VLOOKUP(B174, [2]Sheet1!A:D, 3, FALSE), 0)</f>
        <v>6</v>
      </c>
      <c r="H174">
        <f>IFERROR(VLOOKUP(C174, [2]Sheet1!A:C, 2, FALSE), 0)</f>
        <v>0</v>
      </c>
      <c r="I174">
        <f>IFERROR(VLOOKUP(C174, [2]Sheet1!A:C, 3, FALSE), 0)</f>
        <v>0</v>
      </c>
      <c r="M174">
        <v>1</v>
      </c>
      <c r="N174">
        <f>IFERROR(VLOOKUP(B174, [4]Sheet1!A:B, 2, FALSE), "no")</f>
        <v>1</v>
      </c>
      <c r="O174">
        <f>IFERROR(VLOOKUP(C174, [4]Sheet1!A:B, 2, FALSE), "No Data")</f>
        <v>27</v>
      </c>
    </row>
    <row r="175" spans="1:15" ht="22.2" customHeight="1">
      <c r="A175" t="s">
        <v>238</v>
      </c>
      <c r="B175" t="s">
        <v>234</v>
      </c>
      <c r="C175" t="s">
        <v>22</v>
      </c>
      <c r="D175">
        <f>VLOOKUP(B175, [1]Sheet1!A:B, 2, FALSE)</f>
        <v>18</v>
      </c>
      <c r="E175">
        <f>VLOOKUP(C175, [1]Sheet1!A:B, 2, FALSE)</f>
        <v>2</v>
      </c>
      <c r="F175">
        <f>IFERROR(VLOOKUP(B175, [2]Sheet1!A:C, 2, FALSE), 0)</f>
        <v>1</v>
      </c>
      <c r="G175">
        <f>IFERROR(VLOOKUP(B175, [2]Sheet1!A:D, 3, FALSE), 0)</f>
        <v>2</v>
      </c>
      <c r="H175">
        <f>IFERROR(VLOOKUP(C175, [2]Sheet1!A:C, 2, FALSE), 0)</f>
        <v>4</v>
      </c>
      <c r="I175">
        <f>IFERROR(VLOOKUP(C175, [2]Sheet1!A:C, 3, FALSE), 0)</f>
        <v>6</v>
      </c>
      <c r="M175">
        <v>-1</v>
      </c>
      <c r="N175">
        <f>IFERROR(VLOOKUP(B175, [4]Sheet1!A:B, 2, FALSE), "no")</f>
        <v>19</v>
      </c>
      <c r="O175">
        <f>IFERROR(VLOOKUP(C175, [4]Sheet1!A:B, 2, FALSE), "No Data")</f>
        <v>1</v>
      </c>
    </row>
    <row r="176" spans="1:15" ht="22.2" customHeight="1">
      <c r="A176" t="s">
        <v>239</v>
      </c>
      <c r="B176" t="s">
        <v>155</v>
      </c>
      <c r="C176" t="s">
        <v>233</v>
      </c>
      <c r="D176">
        <f>VLOOKUP(B176, [1]Sheet1!A:B, 2, FALSE)</f>
        <v>24</v>
      </c>
      <c r="E176">
        <f>VLOOKUP(C176, [1]Sheet1!A:B, 2, FALSE)</f>
        <v>38</v>
      </c>
      <c r="F176">
        <f>IFERROR(VLOOKUP(B176, [2]Sheet1!A:C, 2, FALSE), 0)</f>
        <v>0</v>
      </c>
      <c r="G176">
        <f>IFERROR(VLOOKUP(B176, [2]Sheet1!A:D, 3, FALSE), 0)</f>
        <v>1</v>
      </c>
      <c r="H176">
        <f>IFERROR(VLOOKUP(C176, [2]Sheet1!A:C, 2, FALSE), 0)</f>
        <v>0</v>
      </c>
      <c r="I176">
        <f>IFERROR(VLOOKUP(C176, [2]Sheet1!A:C, 3, FALSE), 0)</f>
        <v>0</v>
      </c>
      <c r="M176">
        <v>0</v>
      </c>
      <c r="N176">
        <f>IFERROR(VLOOKUP(B176, [4]Sheet1!A:B, 2, FALSE), "no")</f>
        <v>24</v>
      </c>
      <c r="O176">
        <f>IFERROR(VLOOKUP(C176, [4]Sheet1!A:B, 2, FALSE), "No Data")</f>
        <v>27</v>
      </c>
    </row>
    <row r="177" spans="1:15" ht="22.2" customHeight="1">
      <c r="A177" t="s">
        <v>240</v>
      </c>
      <c r="B177" t="s">
        <v>11</v>
      </c>
      <c r="C177" t="s">
        <v>39</v>
      </c>
      <c r="D177">
        <f>VLOOKUP(B177, [1]Sheet1!A:B, 2, FALSE)</f>
        <v>16</v>
      </c>
      <c r="E177">
        <f>VLOOKUP(C177, [1]Sheet1!A:B, 2, FALSE)</f>
        <v>47</v>
      </c>
      <c r="F177">
        <f>IFERROR(VLOOKUP(B177, [2]Sheet1!A:C, 2, FALSE), 0)</f>
        <v>1</v>
      </c>
      <c r="G177">
        <f>IFERROR(VLOOKUP(B177, [2]Sheet1!A:D, 3, FALSE), 0)</f>
        <v>2</v>
      </c>
      <c r="H177">
        <f>IFERROR(VLOOKUP(C177, [2]Sheet1!A:C, 2, FALSE), 0)</f>
        <v>0</v>
      </c>
      <c r="I177">
        <f>IFERROR(VLOOKUP(C177, [2]Sheet1!A:C, 3, FALSE), 0)</f>
        <v>1</v>
      </c>
      <c r="M177">
        <v>1</v>
      </c>
      <c r="N177">
        <f>IFERROR(VLOOKUP(B177, [4]Sheet1!A:B, 2, FALSE), "no")</f>
        <v>7</v>
      </c>
      <c r="O177">
        <f>IFERROR(VLOOKUP(C177, [4]Sheet1!A:B, 2, FALSE), "No Data")</f>
        <v>20</v>
      </c>
    </row>
    <row r="178" spans="1:15" ht="22.2" customHeight="1">
      <c r="A178" t="s">
        <v>241</v>
      </c>
      <c r="B178" t="s">
        <v>42</v>
      </c>
      <c r="C178" t="s">
        <v>140</v>
      </c>
      <c r="D178">
        <f>VLOOKUP(B178, [1]Sheet1!A:B, 2, FALSE)</f>
        <v>14</v>
      </c>
      <c r="E178">
        <f>VLOOKUP(C178, [1]Sheet1!A:B, 2, FALSE)</f>
        <v>32</v>
      </c>
      <c r="F178">
        <f>IFERROR(VLOOKUP(B178, [2]Sheet1!A:C, 2, FALSE), 0)</f>
        <v>1</v>
      </c>
      <c r="G178">
        <f>IFERROR(VLOOKUP(B178, [2]Sheet1!A:D, 3, FALSE), 0)</f>
        <v>1</v>
      </c>
      <c r="H178">
        <f>IFERROR(VLOOKUP(C178, [2]Sheet1!A:C, 2, FALSE), 0)</f>
        <v>1</v>
      </c>
      <c r="I178">
        <f>IFERROR(VLOOKUP(C178, [2]Sheet1!A:C, 3, FALSE), 0)</f>
        <v>2</v>
      </c>
      <c r="M178">
        <v>-1</v>
      </c>
      <c r="N178">
        <f>IFERROR(VLOOKUP(B178, [4]Sheet1!A:B, 2, FALSE), "no")</f>
        <v>15</v>
      </c>
      <c r="O178">
        <f>IFERROR(VLOOKUP(C178, [4]Sheet1!A:B, 2, FALSE), "No Data")</f>
        <v>16</v>
      </c>
    </row>
    <row r="179" spans="1:15" ht="22.2" customHeight="1">
      <c r="A179" t="s">
        <v>242</v>
      </c>
      <c r="B179" t="s">
        <v>123</v>
      </c>
      <c r="C179" t="s">
        <v>220</v>
      </c>
      <c r="D179">
        <f>VLOOKUP(B179, [1]Sheet1!A:B, 2, FALSE)</f>
        <v>4</v>
      </c>
      <c r="E179">
        <f>VLOOKUP(C179, [1]Sheet1!A:B, 2, FALSE)</f>
        <v>34</v>
      </c>
      <c r="F179">
        <f>IFERROR(VLOOKUP(B179, [2]Sheet1!A:C, 2, FALSE), 0)</f>
        <v>3</v>
      </c>
      <c r="G179">
        <f>IFERROR(VLOOKUP(B179, [2]Sheet1!A:D, 3, FALSE), 0)</f>
        <v>5</v>
      </c>
      <c r="H179">
        <f>IFERROR(VLOOKUP(C179, [2]Sheet1!A:C, 2, FALSE), 0)</f>
        <v>0</v>
      </c>
      <c r="I179">
        <f>IFERROR(VLOOKUP(C179, [2]Sheet1!A:C, 3, FALSE), 0)</f>
        <v>0</v>
      </c>
      <c r="M179">
        <v>1</v>
      </c>
      <c r="N179">
        <f>IFERROR(VLOOKUP(B179, [4]Sheet1!A:B, 2, FALSE), "no")</f>
        <v>4</v>
      </c>
      <c r="O179">
        <f>IFERROR(VLOOKUP(C179, [4]Sheet1!A:B, 2, FALSE), "No Data")</f>
        <v>26</v>
      </c>
    </row>
    <row r="180" spans="1:15" ht="22.2" customHeight="1">
      <c r="A180" t="s">
        <v>243</v>
      </c>
      <c r="B180" t="s">
        <v>29</v>
      </c>
      <c r="C180" t="s">
        <v>234</v>
      </c>
      <c r="D180">
        <f>VLOOKUP(B180, [1]Sheet1!A:B, 2, FALSE)</f>
        <v>1</v>
      </c>
      <c r="E180">
        <f>VLOOKUP(C180, [1]Sheet1!A:B, 2, FALSE)</f>
        <v>18</v>
      </c>
      <c r="F180">
        <f>IFERROR(VLOOKUP(B180, [2]Sheet1!A:C, 2, FALSE), 0)</f>
        <v>3</v>
      </c>
      <c r="G180">
        <f>IFERROR(VLOOKUP(B180, [2]Sheet1!A:D, 3, FALSE), 0)</f>
        <v>6</v>
      </c>
      <c r="H180">
        <f>IFERROR(VLOOKUP(C180, [2]Sheet1!A:C, 2, FALSE), 0)</f>
        <v>1</v>
      </c>
      <c r="I180">
        <f>IFERROR(VLOOKUP(C180, [2]Sheet1!A:C, 3, FALSE), 0)</f>
        <v>2</v>
      </c>
      <c r="M180">
        <v>1</v>
      </c>
      <c r="N180">
        <f>IFERROR(VLOOKUP(B180, [4]Sheet1!A:B, 2, FALSE), "no")</f>
        <v>2</v>
      </c>
      <c r="O180">
        <f>IFERROR(VLOOKUP(C180, [4]Sheet1!A:B, 2, FALSE), "No Data")</f>
        <v>19</v>
      </c>
    </row>
    <row r="181" spans="1:15" ht="22.2" customHeight="1">
      <c r="A181" t="s">
        <v>244</v>
      </c>
      <c r="B181" t="s">
        <v>63</v>
      </c>
      <c r="C181" t="s">
        <v>74</v>
      </c>
      <c r="D181">
        <f>VLOOKUP(B181, [1]Sheet1!A:B, 2, FALSE)</f>
        <v>7</v>
      </c>
      <c r="E181">
        <f>VLOOKUP(C181, [1]Sheet1!A:B, 2, FALSE)</f>
        <v>17</v>
      </c>
      <c r="F181">
        <f>IFERROR(VLOOKUP(B181, [2]Sheet1!A:C, 2, FALSE), 0)</f>
        <v>2</v>
      </c>
      <c r="G181">
        <f>IFERROR(VLOOKUP(B181, [2]Sheet1!A:D, 3, FALSE), 0)</f>
        <v>4</v>
      </c>
      <c r="H181">
        <f>IFERROR(VLOOKUP(C181, [2]Sheet1!A:C, 2, FALSE), 0)</f>
        <v>1</v>
      </c>
      <c r="I181">
        <f>IFERROR(VLOOKUP(C181, [2]Sheet1!A:C, 3, FALSE), 0)</f>
        <v>2</v>
      </c>
      <c r="M181">
        <v>1</v>
      </c>
      <c r="N181">
        <f>IFERROR(VLOOKUP(B181, [4]Sheet1!A:B, 2, FALSE), "no")</f>
        <v>15</v>
      </c>
      <c r="O181">
        <f>IFERROR(VLOOKUP(C181, [4]Sheet1!A:B, 2, FALSE), "No Data")</f>
        <v>14</v>
      </c>
    </row>
    <row r="182" spans="1:15" ht="22.2" customHeight="1">
      <c r="A182" t="s">
        <v>245</v>
      </c>
      <c r="B182" t="s">
        <v>56</v>
      </c>
      <c r="C182" t="s">
        <v>66</v>
      </c>
      <c r="D182">
        <f>VLOOKUP(B182, [1]Sheet1!A:B, 2, FALSE)</f>
        <v>6</v>
      </c>
      <c r="E182">
        <f>VLOOKUP(C182, [1]Sheet1!A:B, 2, FALSE)</f>
        <v>8</v>
      </c>
      <c r="F182">
        <f>IFERROR(VLOOKUP(B182, [2]Sheet1!A:C, 2, FALSE), 0)</f>
        <v>2</v>
      </c>
      <c r="G182">
        <f>IFERROR(VLOOKUP(B182, [2]Sheet1!A:D, 3, FALSE), 0)</f>
        <v>4</v>
      </c>
      <c r="H182">
        <f>IFERROR(VLOOKUP(C182, [2]Sheet1!A:C, 2, FALSE), 0)</f>
        <v>2</v>
      </c>
      <c r="I182">
        <f>IFERROR(VLOOKUP(C182, [2]Sheet1!A:C, 3, FALSE), 0)</f>
        <v>4</v>
      </c>
      <c r="M182">
        <v>1</v>
      </c>
      <c r="N182">
        <f>IFERROR(VLOOKUP(B182, [4]Sheet1!A:B, 2, FALSE), "no")</f>
        <v>11</v>
      </c>
      <c r="O182">
        <f>IFERROR(VLOOKUP(C182, [4]Sheet1!A:B, 2, FALSE), "No Data")</f>
        <v>12</v>
      </c>
    </row>
    <row r="183" spans="1:15" ht="22.2" customHeight="1">
      <c r="A183" t="s">
        <v>246</v>
      </c>
      <c r="B183" t="s">
        <v>19</v>
      </c>
      <c r="C183" t="s">
        <v>83</v>
      </c>
      <c r="D183">
        <f>VLOOKUP(B183, [1]Sheet1!A:B, 2, FALSE)</f>
        <v>31</v>
      </c>
      <c r="E183">
        <f>VLOOKUP(C183, [1]Sheet1!A:B, 2, FALSE)</f>
        <v>45</v>
      </c>
      <c r="F183">
        <f>IFERROR(VLOOKUP(B183, [2]Sheet1!A:C, 2, FALSE), 0)</f>
        <v>0</v>
      </c>
      <c r="G183">
        <f>IFERROR(VLOOKUP(B183, [2]Sheet1!A:D, 3, FALSE), 0)</f>
        <v>1</v>
      </c>
      <c r="H183">
        <f>IFERROR(VLOOKUP(C183, [2]Sheet1!A:C, 2, FALSE), 0)</f>
        <v>0</v>
      </c>
      <c r="I183">
        <f>IFERROR(VLOOKUP(C183, [2]Sheet1!A:C, 3, FALSE), 0)</f>
        <v>0</v>
      </c>
      <c r="M183">
        <v>0</v>
      </c>
      <c r="N183">
        <f>IFERROR(VLOOKUP(B183, [4]Sheet1!A:B, 2, FALSE), "no")</f>
        <v>18</v>
      </c>
      <c r="O183">
        <f>IFERROR(VLOOKUP(C183, [4]Sheet1!A:B, 2, FALSE), "No Data")</f>
        <v>25</v>
      </c>
    </row>
    <row r="184" spans="1:15" ht="22.2" customHeight="1">
      <c r="A184" t="s">
        <v>247</v>
      </c>
      <c r="B184" t="s">
        <v>22</v>
      </c>
      <c r="C184" t="s">
        <v>43</v>
      </c>
      <c r="D184">
        <f>VLOOKUP(B184, [1]Sheet1!A:B, 2, FALSE)</f>
        <v>2</v>
      </c>
      <c r="E184">
        <f>VLOOKUP(C184, [1]Sheet1!A:B, 2, FALSE)</f>
        <v>3</v>
      </c>
      <c r="F184">
        <f>IFERROR(VLOOKUP(B184, [2]Sheet1!A:C, 2, FALSE), 0)</f>
        <v>4</v>
      </c>
      <c r="G184">
        <f>IFERROR(VLOOKUP(B184, [2]Sheet1!A:D, 3, FALSE), 0)</f>
        <v>6</v>
      </c>
      <c r="H184">
        <f>IFERROR(VLOOKUP(C184, [2]Sheet1!A:C, 2, FALSE), 0)</f>
        <v>2</v>
      </c>
      <c r="I184">
        <f>IFERROR(VLOOKUP(C184, [2]Sheet1!A:C, 3, FALSE), 0)</f>
        <v>4</v>
      </c>
      <c r="M184">
        <v>1</v>
      </c>
      <c r="N184">
        <f>IFERROR(VLOOKUP(B184, [4]Sheet1!A:B, 2, FALSE), "no")</f>
        <v>1</v>
      </c>
      <c r="O184">
        <f>IFERROR(VLOOKUP(C184, [4]Sheet1!A:B, 2, FALSE), "No Data")</f>
        <v>8</v>
      </c>
    </row>
    <row r="185" spans="1:15" ht="22.2" customHeight="1">
      <c r="A185" t="s">
        <v>248</v>
      </c>
      <c r="B185" t="s">
        <v>11</v>
      </c>
      <c r="C185" t="s">
        <v>140</v>
      </c>
      <c r="D185">
        <f>VLOOKUP(B185, [1]Sheet1!A:B, 2, FALSE)</f>
        <v>16</v>
      </c>
      <c r="E185">
        <f>VLOOKUP(C185, [1]Sheet1!A:B, 2, FALSE)</f>
        <v>32</v>
      </c>
      <c r="F185">
        <f>IFERROR(VLOOKUP(B185, [2]Sheet1!A:C, 2, FALSE), 0)</f>
        <v>1</v>
      </c>
      <c r="G185">
        <f>IFERROR(VLOOKUP(B185, [2]Sheet1!A:D, 3, FALSE), 0)</f>
        <v>1</v>
      </c>
      <c r="H185">
        <f>IFERROR(VLOOKUP(C185, [2]Sheet1!A:C, 2, FALSE), 0)</f>
        <v>32</v>
      </c>
      <c r="I185">
        <f>IFERROR(VLOOKUP(C185, [2]Sheet1!A:C, 3, FALSE), 0)</f>
        <v>1</v>
      </c>
      <c r="M185">
        <v>0</v>
      </c>
      <c r="N185">
        <f>IFERROR(VLOOKUP(B185, [4]Sheet1!A:B, 2, FALSE), "no")</f>
        <v>7</v>
      </c>
      <c r="O185">
        <f>IFERROR(VLOOKUP(C185, [4]Sheet1!A:B, 2, FALSE), "No Data")</f>
        <v>16</v>
      </c>
    </row>
    <row r="186" spans="1:15" ht="22.2" customHeight="1">
      <c r="A186" t="s">
        <v>249</v>
      </c>
      <c r="B186" t="s">
        <v>123</v>
      </c>
      <c r="C186" t="s">
        <v>29</v>
      </c>
      <c r="D186">
        <f>VLOOKUP(B186, [1]Sheet1!A:B, 2, FALSE)</f>
        <v>4</v>
      </c>
      <c r="E186">
        <f>VLOOKUP(C186, [1]Sheet1!A:B, 2, FALSE)</f>
        <v>1</v>
      </c>
      <c r="F186">
        <f>IFERROR(VLOOKUP(B186, [2]Sheet1!A:C, 2, FALSE), 0)</f>
        <v>3</v>
      </c>
      <c r="G186">
        <f>IFERROR(VLOOKUP(B186, [2]Sheet1!A:D, 3, FALSE), 0)</f>
        <v>1</v>
      </c>
      <c r="H186">
        <f>IFERROR(VLOOKUP(C186, [2]Sheet1!A:C, 2, FALSE), 0)</f>
        <v>1</v>
      </c>
      <c r="I186">
        <f>IFERROR(VLOOKUP(C186, [2]Sheet1!A:C, 3, FALSE), 0)</f>
        <v>1</v>
      </c>
      <c r="M186">
        <v>1</v>
      </c>
      <c r="N186">
        <f>IFERROR(VLOOKUP(B186, [4]Sheet1!A:B, 2, FALSE), "no")</f>
        <v>4</v>
      </c>
      <c r="O186">
        <f>IFERROR(VLOOKUP(C186, [4]Sheet1!A:B, 2, FALSE), "No Data")</f>
        <v>2</v>
      </c>
    </row>
    <row r="187" spans="1:15" ht="22.2" customHeight="1">
      <c r="A187" t="s">
        <v>250</v>
      </c>
      <c r="B187" t="s">
        <v>63</v>
      </c>
      <c r="C187" t="s">
        <v>56</v>
      </c>
      <c r="D187">
        <f>VLOOKUP(B187, [1]Sheet1!A:B, 2, FALSE)</f>
        <v>7</v>
      </c>
      <c r="E187">
        <f>VLOOKUP(C187, [1]Sheet1!A:B, 2, FALSE)</f>
        <v>6</v>
      </c>
      <c r="F187">
        <f>IFERROR(VLOOKUP(B187, [2]Sheet1!A:C, 2, FALSE), 0)</f>
        <v>2</v>
      </c>
      <c r="G187">
        <f>IFERROR(VLOOKUP(B187, [2]Sheet1!A:D, 3, FALSE), 0)</f>
        <v>2</v>
      </c>
      <c r="H187">
        <f>IFERROR(VLOOKUP(C187, [2]Sheet1!A:C, 2, FALSE), 0)</f>
        <v>6</v>
      </c>
      <c r="I187">
        <f>IFERROR(VLOOKUP(C187, [2]Sheet1!A:C, 3, FALSE), 0)</f>
        <v>2</v>
      </c>
      <c r="M187">
        <v>-1</v>
      </c>
      <c r="N187">
        <f>IFERROR(VLOOKUP(B187, [4]Sheet1!A:B, 2, FALSE), "no")</f>
        <v>15</v>
      </c>
      <c r="O187">
        <f>IFERROR(VLOOKUP(C187, [4]Sheet1!A:B, 2, FALSE), "No Data")</f>
        <v>11</v>
      </c>
    </row>
    <row r="188" spans="1:15" ht="22.2" customHeight="1">
      <c r="A188" t="s">
        <v>251</v>
      </c>
      <c r="B188" t="s">
        <v>19</v>
      </c>
      <c r="C188" t="s">
        <v>22</v>
      </c>
      <c r="D188">
        <f>VLOOKUP(B188, [1]Sheet1!A:B, 2, FALSE)</f>
        <v>31</v>
      </c>
      <c r="E188">
        <f>VLOOKUP(C188, [1]Sheet1!A:B, 2, FALSE)</f>
        <v>2</v>
      </c>
      <c r="F188">
        <f>IFERROR(VLOOKUP(B188, [2]Sheet1!A:C, 2, FALSE), 0)</f>
        <v>0</v>
      </c>
      <c r="G188">
        <f>IFERROR(VLOOKUP(B188, [2]Sheet1!A:D, 3, FALSE), 0)</f>
        <v>4</v>
      </c>
      <c r="H188">
        <f>IFERROR(VLOOKUP(C188, [2]Sheet1!A:C, 2, FALSE), 0)</f>
        <v>2</v>
      </c>
      <c r="I188">
        <f>IFERROR(VLOOKUP(C188, [2]Sheet1!A:C, 3, FALSE), 0)</f>
        <v>0</v>
      </c>
      <c r="M188">
        <v>-1</v>
      </c>
      <c r="N188">
        <f>IFERROR(VLOOKUP(B188, [4]Sheet1!A:B, 2, FALSE), "no")</f>
        <v>18</v>
      </c>
      <c r="O188">
        <f>IFERROR(VLOOKUP(C188, [4]Sheet1!A:B, 2, FALSE), "No Data")</f>
        <v>1</v>
      </c>
    </row>
    <row r="189" spans="1:15" ht="22.2" customHeight="1">
      <c r="A189" t="s">
        <v>252</v>
      </c>
      <c r="B189" t="s">
        <v>11</v>
      </c>
      <c r="C189" t="s">
        <v>123</v>
      </c>
      <c r="D189">
        <f>VLOOKUP(B189, [1]Sheet1!A:B, 2, FALSE)</f>
        <v>16</v>
      </c>
      <c r="E189">
        <f>VLOOKUP(C189, [1]Sheet1!A:B, 2, FALSE)</f>
        <v>4</v>
      </c>
      <c r="F189">
        <f>IFERROR(VLOOKUP(B189, [2]Sheet1!A:C, 2, FALSE), 0)</f>
        <v>1</v>
      </c>
      <c r="G189">
        <f>IFERROR(VLOOKUP(B189, [2]Sheet1!A:D, 3, FALSE), 0)</f>
        <v>1</v>
      </c>
      <c r="H189">
        <f>IFERROR(VLOOKUP(C189, [2]Sheet1!A:C, 2, FALSE), 0)</f>
        <v>4</v>
      </c>
      <c r="I189">
        <f>IFERROR(VLOOKUP(C189, [2]Sheet1!A:C, 3, FALSE), 0)</f>
        <v>1</v>
      </c>
      <c r="M189">
        <v>-1</v>
      </c>
      <c r="N189">
        <f>IFERROR(VLOOKUP(B189, [4]Sheet1!A:B, 2, FALSE), "no")</f>
        <v>7</v>
      </c>
      <c r="O189">
        <f>IFERROR(VLOOKUP(C189, [4]Sheet1!A:B, 2, FALSE), "No Data")</f>
        <v>4</v>
      </c>
    </row>
    <row r="190" spans="1:15" ht="22.2" customHeight="1">
      <c r="A190" t="s">
        <v>253</v>
      </c>
      <c r="B190" t="s">
        <v>56</v>
      </c>
      <c r="C190" t="s">
        <v>22</v>
      </c>
      <c r="D190">
        <f>VLOOKUP(B190, [1]Sheet1!A:B, 2, FALSE)</f>
        <v>6</v>
      </c>
      <c r="E190">
        <f>VLOOKUP(C190, [1]Sheet1!A:B, 2, FALSE)</f>
        <v>2</v>
      </c>
      <c r="F190">
        <f>IFERROR(VLOOKUP(B190, [2]Sheet1!A:C, 2, FALSE), 0)</f>
        <v>2</v>
      </c>
      <c r="G190">
        <f>IFERROR(VLOOKUP(B190, [2]Sheet1!A:D, 3, FALSE), 0)</f>
        <v>2</v>
      </c>
      <c r="H190">
        <f>IFERROR(VLOOKUP(C190, [2]Sheet1!A:C, 2, FALSE), 0)</f>
        <v>2</v>
      </c>
      <c r="I190">
        <f>IFERROR(VLOOKUP(C190, [2]Sheet1!A:C, 3, FALSE), 0)</f>
        <v>0</v>
      </c>
      <c r="M190">
        <v>-1</v>
      </c>
      <c r="N190">
        <f>IFERROR(VLOOKUP(B190, [4]Sheet1!A:B, 2, FALSE), "no")</f>
        <v>11</v>
      </c>
      <c r="O190">
        <f>IFERROR(VLOOKUP(C190, [4]Sheet1!A:B, 2, FALSE), "No Data")</f>
        <v>1</v>
      </c>
    </row>
    <row r="191" spans="1:15" ht="22.2" customHeight="1">
      <c r="A191" t="s">
        <v>254</v>
      </c>
      <c r="B191" t="s">
        <v>123</v>
      </c>
      <c r="C191" t="s">
        <v>22</v>
      </c>
      <c r="D191">
        <f>VLOOKUP(B191, [1]Sheet1!A:B, 2, FALSE)</f>
        <v>4</v>
      </c>
      <c r="E191">
        <f>VLOOKUP(C191, [1]Sheet1!A:B, 2, FALSE)</f>
        <v>2</v>
      </c>
      <c r="F191">
        <f>IFERROR(VLOOKUP(B191, [2]Sheet1!A:C, 2, FALSE), 0)</f>
        <v>3</v>
      </c>
      <c r="G191">
        <f>IFERROR(VLOOKUP(B191, [2]Sheet1!A:D, 3, FALSE), 0)</f>
        <v>1</v>
      </c>
      <c r="H191">
        <f>IFERROR(VLOOKUP(C191, [2]Sheet1!A:C, 2, FALSE), 0)</f>
        <v>2</v>
      </c>
      <c r="I191">
        <f>IFERROR(VLOOKUP(C191, [2]Sheet1!A:C, 3, FALSE), 0)</f>
        <v>0</v>
      </c>
      <c r="M191">
        <v>-1</v>
      </c>
      <c r="N191">
        <f>IFERROR(VLOOKUP(B191, [4]Sheet1!A:B, 2, FALSE), "no")</f>
        <v>4</v>
      </c>
      <c r="O191">
        <f>IFERROR(VLOOKUP(C191, [4]Sheet1!A:B, 2, FALSE), "No Data")</f>
        <v>1</v>
      </c>
    </row>
    <row r="192" spans="1:15" ht="22.2" customHeight="1">
      <c r="A192" t="s">
        <v>255</v>
      </c>
      <c r="B192" t="s">
        <v>11</v>
      </c>
      <c r="C192" t="s">
        <v>56</v>
      </c>
      <c r="D192">
        <f>VLOOKUP(B192, [1]Sheet1!A:B, 2, FALSE)</f>
        <v>16</v>
      </c>
      <c r="E192">
        <f>VLOOKUP(C192, [1]Sheet1!A:B, 2, FALSE)</f>
        <v>6</v>
      </c>
      <c r="F192">
        <f>IFERROR(VLOOKUP(B192, [2]Sheet1!A:C, 2, FALSE), 0)</f>
        <v>1</v>
      </c>
      <c r="G192">
        <f>IFERROR(VLOOKUP(B192, [2]Sheet1!A:D, 3, FALSE), 0)</f>
        <v>1</v>
      </c>
      <c r="H192">
        <f>IFERROR(VLOOKUP(C192, [2]Sheet1!A:C, 2, FALSE), 0)</f>
        <v>6</v>
      </c>
      <c r="I192">
        <f>IFERROR(VLOOKUP(C192, [2]Sheet1!A:C, 3, FALSE), 0)</f>
        <v>2</v>
      </c>
      <c r="M192">
        <v>-1</v>
      </c>
      <c r="N192">
        <f>IFERROR(VLOOKUP(B192, [4]Sheet1!A:B, 2, FALSE), "no")</f>
        <v>7</v>
      </c>
      <c r="O192">
        <f>IFERROR(VLOOKUP(C192, [4]Sheet1!A:B, 2, FALSE), "No Data")</f>
        <v>11</v>
      </c>
    </row>
    <row r="193" spans="1:15" ht="22.2" customHeight="1">
      <c r="A193" t="s">
        <v>258</v>
      </c>
      <c r="B193" t="s">
        <v>29</v>
      </c>
      <c r="C193" t="s">
        <v>73</v>
      </c>
      <c r="D193">
        <v>3</v>
      </c>
      <c r="E193">
        <v>18</v>
      </c>
      <c r="F193">
        <f>IFERROR(VLOOKUP(B193, [2]Sheet1!A:C, 2, FALSE), 0)</f>
        <v>2</v>
      </c>
      <c r="G193">
        <f>IFERROR(VLOOKUP(B193, [2]Sheet1!A:D, 3, FALSE), 0)</f>
        <v>5</v>
      </c>
      <c r="H193">
        <f>IFERROR(VLOOKUP(C193, [2]Sheet1!A:C, 2, FALSE), 0)</f>
        <v>0</v>
      </c>
      <c r="I193">
        <f>IFERROR(VLOOKUP(C193, [2]Sheet1!A:C, 3, FALSE), 0)</f>
        <v>1</v>
      </c>
      <c r="M193">
        <v>1</v>
      </c>
      <c r="N193">
        <f>IFERROR(VLOOKUP(B193, [5]Sheet1!A:B, 2, FALSE), "no")</f>
        <v>5</v>
      </c>
      <c r="O193">
        <f>IFERROR(VLOOKUP(C193, [4]Sheet1!A:B, 2, FALSE), "No Data")</f>
        <v>18</v>
      </c>
    </row>
    <row r="194" spans="1:15" ht="22.2" customHeight="1">
      <c r="A194" t="s">
        <v>259</v>
      </c>
      <c r="B194" t="s">
        <v>234</v>
      </c>
      <c r="C194" t="s">
        <v>146</v>
      </c>
      <c r="D194">
        <v>14</v>
      </c>
      <c r="E194">
        <v>62</v>
      </c>
      <c r="F194">
        <f>IFERROR(VLOOKUP(B194, [2]Sheet1!A:C, 2, FALSE), 0)</f>
        <v>1</v>
      </c>
      <c r="G194">
        <f>IFERROR(VLOOKUP(B194, [2]Sheet1!A:D, 3, FALSE), 0)</f>
        <v>2</v>
      </c>
      <c r="H194">
        <f>IFERROR(VLOOKUP(C194, [2]Sheet1!A:C, 2, FALSE), 0)</f>
        <v>0</v>
      </c>
      <c r="I194">
        <f>IFERROR(VLOOKUP(C194, [2]Sheet1!A:C, 3, FALSE), 0)</f>
        <v>0</v>
      </c>
      <c r="M194">
        <v>1</v>
      </c>
      <c r="N194">
        <f>IFERROR(VLOOKUP(B194, [5]Sheet1!A:B, 2, FALSE), "no")</f>
        <v>14</v>
      </c>
      <c r="O194">
        <f>IFERROR(VLOOKUP(C194, [4]Sheet1!A:B, 2, FALSE), "No Data")</f>
        <v>32</v>
      </c>
    </row>
    <row r="195" spans="1:15" ht="22.2" customHeight="1">
      <c r="A195" t="s">
        <v>260</v>
      </c>
      <c r="B195" t="s">
        <v>74</v>
      </c>
      <c r="C195" t="s">
        <v>54</v>
      </c>
      <c r="D195">
        <v>20</v>
      </c>
      <c r="E195">
        <v>56</v>
      </c>
      <c r="F195">
        <f>IFERROR(VLOOKUP(B195, [2]Sheet1!A:C, 2, FALSE), 0)</f>
        <v>0</v>
      </c>
      <c r="G195">
        <f>IFERROR(VLOOKUP(B195, [2]Sheet1!A:D, 3, FALSE), 0)</f>
        <v>1</v>
      </c>
      <c r="H195">
        <f>IFERROR(VLOOKUP(C195, [2]Sheet1!A:C, 2, FALSE), 0)</f>
        <v>0</v>
      </c>
      <c r="I195">
        <f>IFERROR(VLOOKUP(C195, [2]Sheet1!A:C, 3, FALSE), 0)</f>
        <v>0</v>
      </c>
      <c r="M195">
        <v>1</v>
      </c>
      <c r="N195">
        <f>IFERROR(VLOOKUP(B195, [5]Sheet1!A:B, 2, FALSE), "no")</f>
        <v>15</v>
      </c>
      <c r="O195">
        <f>IFERROR(VLOOKUP(C195, [4]Sheet1!A:B, 2, FALSE), "No Data")</f>
        <v>31</v>
      </c>
    </row>
    <row r="196" spans="1:15" ht="22.2" customHeight="1">
      <c r="A196" t="s">
        <v>261</v>
      </c>
      <c r="B196" t="s">
        <v>22</v>
      </c>
      <c r="C196" t="s">
        <v>123</v>
      </c>
      <c r="D196">
        <v>1</v>
      </c>
      <c r="E196">
        <v>15</v>
      </c>
      <c r="F196">
        <f>IFERROR(VLOOKUP(B196, [2]Sheet1!A:C, 2, FALSE), 0)</f>
        <v>3</v>
      </c>
      <c r="G196">
        <f>IFERROR(VLOOKUP(B196, [2]Sheet1!A:D, 3, FALSE), 0)</f>
        <v>6</v>
      </c>
      <c r="H196">
        <f>IFERROR(VLOOKUP(C196, [2]Sheet1!A:C, 2, FALSE), 0)</f>
        <v>2</v>
      </c>
      <c r="I196">
        <f>IFERROR(VLOOKUP(C196, [2]Sheet1!A:C, 3, FALSE), 0)</f>
        <v>4</v>
      </c>
      <c r="M196">
        <v>-1</v>
      </c>
      <c r="N196">
        <f>IFERROR(VLOOKUP(B196, [5]Sheet1!A:B, 2, FALSE), "no")</f>
        <v>3</v>
      </c>
      <c r="O196">
        <f>IFERROR(VLOOKUP(C196, [4]Sheet1!A:B, 2, FALSE), "No Data")</f>
        <v>7</v>
      </c>
    </row>
    <row r="197" spans="1:15" ht="22.2" customHeight="1">
      <c r="A197" t="s">
        <v>262</v>
      </c>
      <c r="B197" t="s">
        <v>256</v>
      </c>
      <c r="C197" t="s">
        <v>192</v>
      </c>
      <c r="D197">
        <v>8</v>
      </c>
      <c r="E197">
        <v>12</v>
      </c>
      <c r="F197">
        <f>IFERROR(VLOOKUP(B197, [2]Sheet1!A:C, 2, FALSE), 0)</f>
        <v>1</v>
      </c>
      <c r="G197">
        <f>IFERROR(VLOOKUP(B197, [2]Sheet1!A:D, 3, FALSE), 0)</f>
        <v>2</v>
      </c>
      <c r="H197">
        <f>IFERROR(VLOOKUP(C197, [2]Sheet1!A:C, 2, FALSE), 0)</f>
        <v>0</v>
      </c>
      <c r="I197">
        <f>IFERROR(VLOOKUP(C197, [2]Sheet1!A:C, 3, FALSE), 0)</f>
        <v>1</v>
      </c>
      <c r="M197">
        <v>1</v>
      </c>
      <c r="N197">
        <f>IFERROR(VLOOKUP(B197, [5]Sheet1!A:B, 2, FALSE), "no")</f>
        <v>12</v>
      </c>
      <c r="O197">
        <f>IFERROR(VLOOKUP(C197, [4]Sheet1!A:B, 2, FALSE), "No Data")</f>
        <v>17</v>
      </c>
    </row>
    <row r="198" spans="1:15" ht="22.2" customHeight="1">
      <c r="A198" t="s">
        <v>263</v>
      </c>
      <c r="B198" t="s">
        <v>66</v>
      </c>
      <c r="C198" t="s">
        <v>76</v>
      </c>
      <c r="D198">
        <v>10</v>
      </c>
      <c r="E198">
        <v>9</v>
      </c>
      <c r="F198">
        <f>IFERROR(VLOOKUP(B198, [2]Sheet1!A:C, 2, FALSE), 0)</f>
        <v>1</v>
      </c>
      <c r="G198">
        <f>IFERROR(VLOOKUP(B198, [2]Sheet1!A:D, 3, FALSE), 0)</f>
        <v>2</v>
      </c>
      <c r="H198">
        <f>IFERROR(VLOOKUP(C198, [2]Sheet1!A:C, 2, FALSE), 0)</f>
        <v>1</v>
      </c>
      <c r="I198">
        <f>IFERROR(VLOOKUP(C198, [2]Sheet1!A:C, 3, FALSE), 0)</f>
        <v>2</v>
      </c>
      <c r="M198">
        <v>-1</v>
      </c>
      <c r="N198">
        <f>IFERROR(VLOOKUP(B198, [5]Sheet1!A:B, 2, FALSE), "no")</f>
        <v>10</v>
      </c>
      <c r="O198">
        <f>IFERROR(VLOOKUP(C198, [4]Sheet1!A:B, 2, FALSE), "No Data")</f>
        <v>2</v>
      </c>
    </row>
    <row r="199" spans="1:15" ht="22.2" customHeight="1">
      <c r="A199" t="s">
        <v>264</v>
      </c>
      <c r="B199" t="s">
        <v>120</v>
      </c>
      <c r="C199" t="s">
        <v>83</v>
      </c>
      <c r="D199">
        <v>23</v>
      </c>
      <c r="E199">
        <v>46</v>
      </c>
      <c r="F199">
        <f>IFERROR(VLOOKUP(B199, [2]Sheet1!A:C, 2, FALSE), 0)</f>
        <v>1</v>
      </c>
      <c r="G199">
        <f>IFERROR(VLOOKUP(B199, [2]Sheet1!A:D, 3, FALSE), 0)</f>
        <v>2</v>
      </c>
      <c r="H199">
        <f>IFERROR(VLOOKUP(C199, [2]Sheet1!A:C, 2, FALSE), 0)</f>
        <v>0</v>
      </c>
      <c r="I199">
        <f>IFERROR(VLOOKUP(C199, [2]Sheet1!A:C, 3, FALSE), 0)</f>
        <v>1</v>
      </c>
      <c r="M199">
        <v>1</v>
      </c>
      <c r="N199">
        <f>IFERROR(VLOOKUP(B199, [5]Sheet1!A:B, 2, FALSE), "no")</f>
        <v>25</v>
      </c>
      <c r="O199">
        <f>IFERROR(VLOOKUP(C199, [4]Sheet1!A:B, 2, FALSE), "No Data")</f>
        <v>27</v>
      </c>
    </row>
    <row r="200" spans="1:15" ht="22.2" customHeight="1">
      <c r="A200" t="s">
        <v>265</v>
      </c>
      <c r="B200" t="s">
        <v>11</v>
      </c>
      <c r="C200" t="s">
        <v>33</v>
      </c>
      <c r="D200">
        <v>7</v>
      </c>
      <c r="E200">
        <v>28</v>
      </c>
      <c r="F200">
        <f>IFERROR(VLOOKUP(B200, [2]Sheet1!A:C, 2, FALSE), 0)</f>
        <v>1</v>
      </c>
      <c r="G200">
        <f>IFERROR(VLOOKUP(B200, [2]Sheet1!A:D, 3, FALSE), 0)</f>
        <v>2</v>
      </c>
      <c r="H200">
        <f>IFERROR(VLOOKUP(C200, [2]Sheet1!A:C, 2, FALSE), 0)</f>
        <v>0</v>
      </c>
      <c r="I200">
        <f>IFERROR(VLOOKUP(C200, [2]Sheet1!A:C, 3, FALSE), 0)</f>
        <v>1</v>
      </c>
      <c r="M200">
        <v>-1</v>
      </c>
      <c r="N200">
        <f>IFERROR(VLOOKUP(B200, [5]Sheet1!A:B, 2, FALSE), "no")</f>
        <v>13</v>
      </c>
      <c r="O200">
        <f>IFERROR(VLOOKUP(C200, [4]Sheet1!A:B, 2, FALSE), "No Data")</f>
        <v>20</v>
      </c>
    </row>
    <row r="201" spans="1:15" ht="22.2" customHeight="1">
      <c r="A201" t="s">
        <v>266</v>
      </c>
      <c r="B201" t="s">
        <v>63</v>
      </c>
      <c r="C201" t="s">
        <v>257</v>
      </c>
      <c r="D201">
        <v>5</v>
      </c>
      <c r="E201">
        <v>21</v>
      </c>
      <c r="F201">
        <f>IFERROR(VLOOKUP(B201, [2]Sheet1!A:C, 2, FALSE), 0)</f>
        <v>2</v>
      </c>
      <c r="G201">
        <f>IFERROR(VLOOKUP(B201, [2]Sheet1!A:D, 3, FALSE), 0)</f>
        <v>4</v>
      </c>
      <c r="H201">
        <f>IFERROR(VLOOKUP(C201, [2]Sheet1!A:C, 2, FALSE), 0)</f>
        <v>0</v>
      </c>
      <c r="I201">
        <f>IFERROR(VLOOKUP(C201, [2]Sheet1!A:C, 3, FALSE), 0)</f>
        <v>1</v>
      </c>
      <c r="M201">
        <v>1</v>
      </c>
      <c r="N201">
        <f>IFERROR(VLOOKUP(B201, [5]Sheet1!A:B, 2, FALSE), "no")</f>
        <v>6</v>
      </c>
      <c r="O201">
        <f>IFERROR(VLOOKUP(C201, [4]Sheet1!A:B, 2, FALSE), "No Data")</f>
        <v>19</v>
      </c>
    </row>
    <row r="202" spans="1:15" ht="22.2" customHeight="1">
      <c r="A202" t="s">
        <v>267</v>
      </c>
      <c r="B202" t="s">
        <v>9</v>
      </c>
      <c r="C202" t="s">
        <v>233</v>
      </c>
      <c r="D202">
        <v>17</v>
      </c>
      <c r="E202">
        <v>33</v>
      </c>
      <c r="F202">
        <f>IFERROR(VLOOKUP(B202, [2]Sheet1!A:C, 2, FALSE), 0)</f>
        <v>1</v>
      </c>
      <c r="G202">
        <f>IFERROR(VLOOKUP(B202, [2]Sheet1!A:D, 3, FALSE), 0)</f>
        <v>3</v>
      </c>
      <c r="H202">
        <f>IFERROR(VLOOKUP(C202, [2]Sheet1!A:C, 2, FALSE), 0)</f>
        <v>0</v>
      </c>
      <c r="I202">
        <f>IFERROR(VLOOKUP(C202, [2]Sheet1!A:C, 3, FALSE), 0)</f>
        <v>0</v>
      </c>
      <c r="M202">
        <v>1</v>
      </c>
      <c r="N202">
        <f>IFERROR(VLOOKUP(B202, [5]Sheet1!A:B, 2, FALSE), "no")</f>
        <v>4</v>
      </c>
      <c r="O202">
        <f>IFERROR(VLOOKUP(C202, [4]Sheet1!A:B, 2, FALSE), "No Data")</f>
        <v>30</v>
      </c>
    </row>
    <row r="203" spans="1:15" ht="22.2" customHeight="1">
      <c r="A203" t="s">
        <v>268</v>
      </c>
      <c r="B203" t="s">
        <v>155</v>
      </c>
      <c r="C203" t="s">
        <v>77</v>
      </c>
      <c r="D203">
        <v>6</v>
      </c>
      <c r="E203">
        <v>26</v>
      </c>
      <c r="F203">
        <f>IFERROR(VLOOKUP(B203, [2]Sheet1!A:C, 2, FALSE), 0)</f>
        <v>0</v>
      </c>
      <c r="G203">
        <f>IFERROR(VLOOKUP(B203, [2]Sheet1!A:D, 3, FALSE), 0)</f>
        <v>1</v>
      </c>
      <c r="H203">
        <f>IFERROR(VLOOKUP(C203, [2]Sheet1!A:C, 2, FALSE), 0)</f>
        <v>0</v>
      </c>
      <c r="I203">
        <f>IFERROR(VLOOKUP(C203, [2]Sheet1!A:C, 3, FALSE), 0)</f>
        <v>1</v>
      </c>
      <c r="M203">
        <v>1</v>
      </c>
      <c r="N203">
        <f>IFERROR(VLOOKUP(B203, [5]Sheet1!A:B, 2, FALSE), "no")</f>
        <v>11</v>
      </c>
      <c r="O203">
        <f>IFERROR(VLOOKUP(C203, [4]Sheet1!A:B, 2, FALSE), "No Data")</f>
        <v>22</v>
      </c>
    </row>
    <row r="204" spans="1:15" ht="22.2" customHeight="1">
      <c r="A204" t="s">
        <v>269</v>
      </c>
      <c r="B204" t="s">
        <v>56</v>
      </c>
      <c r="C204" t="s">
        <v>43</v>
      </c>
      <c r="D204">
        <v>2</v>
      </c>
      <c r="E204">
        <v>4</v>
      </c>
      <c r="F204">
        <f>IFERROR(VLOOKUP(B204, [2]Sheet1!A:C, 2, FALSE), 0)</f>
        <v>2</v>
      </c>
      <c r="G204">
        <f>IFERROR(VLOOKUP(B204, [2]Sheet1!A:D, 3, FALSE), 0)</f>
        <v>4</v>
      </c>
      <c r="H204">
        <f>IFERROR(VLOOKUP(C204, [2]Sheet1!A:C, 2, FALSE), 0)</f>
        <v>1</v>
      </c>
      <c r="I204">
        <f>IFERROR(VLOOKUP(C204, [2]Sheet1!A:C, 3, FALSE), 0)</f>
        <v>3</v>
      </c>
      <c r="M204">
        <v>1</v>
      </c>
      <c r="N204">
        <f>IFERROR(VLOOKUP(B204, [5]Sheet1!A:B, 2, FALSE), "no")</f>
        <v>1</v>
      </c>
      <c r="O204">
        <f>IFERROR(VLOOKUP(C204, [4]Sheet1!A:B, 2, FALSE), "No Data")</f>
        <v>8</v>
      </c>
    </row>
    <row r="205" spans="1:15" ht="22.2" customHeight="1">
      <c r="A205" t="s">
        <v>270</v>
      </c>
      <c r="B205" t="s">
        <v>140</v>
      </c>
      <c r="C205" t="s">
        <v>45</v>
      </c>
      <c r="D205">
        <v>37</v>
      </c>
      <c r="E205">
        <v>13</v>
      </c>
      <c r="F205">
        <f>IFERROR(VLOOKUP(B205, [2]Sheet1!A:C, 2, FALSE), 0)</f>
        <v>0</v>
      </c>
      <c r="G205">
        <f>IFERROR(VLOOKUP(B205, [2]Sheet1!A:D, 3, FALSE), 0)</f>
        <v>1</v>
      </c>
      <c r="H205">
        <f>IFERROR(VLOOKUP(C205, [2]Sheet1!A:C, 2, FALSE), 0)</f>
        <v>0</v>
      </c>
      <c r="I205">
        <f>IFERROR(VLOOKUP(C205, [2]Sheet1!A:C, 3, FALSE), 0)</f>
        <v>1</v>
      </c>
      <c r="M205">
        <v>-1</v>
      </c>
      <c r="N205">
        <f>IFERROR(VLOOKUP(B205, [5]Sheet1!A:B, 2, FALSE), "no")</f>
        <v>24</v>
      </c>
      <c r="O205">
        <f>IFERROR(VLOOKUP(C205, [4]Sheet1!A:B, 2, FALSE), "No Data")</f>
        <v>16</v>
      </c>
    </row>
    <row r="206" spans="1:15" ht="22.2" customHeight="1">
      <c r="A206" t="s">
        <v>271</v>
      </c>
      <c r="B206" t="s">
        <v>129</v>
      </c>
      <c r="C206" t="s">
        <v>64</v>
      </c>
      <c r="D206">
        <v>43</v>
      </c>
      <c r="E206">
        <v>44</v>
      </c>
      <c r="F206">
        <f>IFERROR(VLOOKUP(B206, [2]Sheet1!A:C, 2, FALSE), 0)</f>
        <v>0</v>
      </c>
      <c r="G206">
        <f>IFERROR(VLOOKUP(B206, [2]Sheet1!A:D, 3, FALSE), 0)</f>
        <v>0</v>
      </c>
      <c r="H206">
        <f>IFERROR(VLOOKUP(C206, [2]Sheet1!A:C, 2, FALSE), 0)</f>
        <v>0</v>
      </c>
      <c r="I206">
        <f>IFERROR(VLOOKUP(C206, [2]Sheet1!A:C, 3, FALSE), 0)</f>
        <v>1</v>
      </c>
      <c r="M206">
        <v>0</v>
      </c>
      <c r="N206">
        <f>IFERROR(VLOOKUP(B206, [5]Sheet1!A:B, 2, FALSE), "no")</f>
        <v>29</v>
      </c>
      <c r="O206">
        <f>IFERROR(VLOOKUP(C206, [4]Sheet1!A:B, 2, FALSE), "No Data")</f>
        <v>23</v>
      </c>
    </row>
    <row r="207" spans="1:15" ht="22.2" customHeight="1">
      <c r="A207" t="s">
        <v>272</v>
      </c>
      <c r="B207" t="s">
        <v>84</v>
      </c>
      <c r="C207" t="s">
        <v>200</v>
      </c>
      <c r="D207">
        <v>11</v>
      </c>
      <c r="E207">
        <v>22</v>
      </c>
      <c r="F207">
        <f>IFERROR(VLOOKUP(B207, [2]Sheet1!A:C, 2, FALSE), 0)</f>
        <v>1</v>
      </c>
      <c r="G207">
        <f>IFERROR(VLOOKUP(B207, [2]Sheet1!A:D, 3, FALSE), 0)</f>
        <v>3</v>
      </c>
      <c r="H207">
        <f>IFERROR(VLOOKUP(C207, [2]Sheet1!A:C, 2, FALSE), 0)</f>
        <v>0</v>
      </c>
      <c r="I207">
        <f>IFERROR(VLOOKUP(C207, [2]Sheet1!A:C, 3, FALSE), 0)</f>
        <v>1</v>
      </c>
      <c r="M207">
        <v>1</v>
      </c>
      <c r="N207">
        <f>IFERROR(VLOOKUP(B207, [5]Sheet1!A:B, 2, FALSE), "no")</f>
        <v>9</v>
      </c>
      <c r="O207">
        <f>IFERROR(VLOOKUP(C207, [4]Sheet1!A:B, 2, FALSE), "No Data")</f>
        <v>26</v>
      </c>
    </row>
    <row r="208" spans="1:15" ht="22.2" customHeight="1">
      <c r="A208" t="s">
        <v>273</v>
      </c>
      <c r="B208" t="s">
        <v>29</v>
      </c>
      <c r="C208" t="s">
        <v>74</v>
      </c>
      <c r="D208">
        <v>3</v>
      </c>
      <c r="E208">
        <v>20</v>
      </c>
      <c r="F208">
        <f>IFERROR(VLOOKUP(B208, [2]Sheet1!A:C, 2, FALSE), 0)</f>
        <v>2</v>
      </c>
      <c r="G208">
        <f>IFERROR(VLOOKUP(B208, [2]Sheet1!A:D, 3, FALSE), 0)</f>
        <v>5</v>
      </c>
      <c r="H208">
        <f>IFERROR(VLOOKUP(C208, [2]Sheet1!A:C, 2, FALSE), 0)</f>
        <v>0</v>
      </c>
      <c r="I208">
        <f>IFERROR(VLOOKUP(C208, [2]Sheet1!A:C, 3, FALSE), 0)</f>
        <v>1</v>
      </c>
      <c r="M208">
        <v>0</v>
      </c>
      <c r="N208">
        <f>IFERROR(VLOOKUP(B208, [5]Sheet1!A:B, 2, FALSE), "no")</f>
        <v>5</v>
      </c>
      <c r="O208">
        <f>IFERROR(VLOOKUP(C208, [4]Sheet1!A:B, 2, FALSE), "No Data")</f>
        <v>15</v>
      </c>
    </row>
    <row r="209" spans="1:15" ht="22.2" customHeight="1">
      <c r="A209" t="s">
        <v>274</v>
      </c>
      <c r="B209" t="s">
        <v>86</v>
      </c>
      <c r="C209" t="s">
        <v>39</v>
      </c>
      <c r="D209">
        <v>19</v>
      </c>
      <c r="E209">
        <v>57</v>
      </c>
      <c r="F209">
        <f>IFERROR(VLOOKUP(B209, [2]Sheet1!A:C, 2, FALSE), 0)</f>
        <v>0</v>
      </c>
      <c r="G209">
        <f>IFERROR(VLOOKUP(B209, [2]Sheet1!A:D, 3, FALSE), 0)</f>
        <v>1</v>
      </c>
      <c r="H209">
        <f>IFERROR(VLOOKUP(C209, [2]Sheet1!A:C, 2, FALSE), 0)</f>
        <v>0</v>
      </c>
      <c r="I209">
        <f>IFERROR(VLOOKUP(C209, [2]Sheet1!A:C, 3, FALSE), 0)</f>
        <v>0</v>
      </c>
      <c r="M209">
        <v>0</v>
      </c>
      <c r="N209">
        <f>IFERROR(VLOOKUP(B209, [5]Sheet1!A:B, 2, FALSE), "no")</f>
        <v>21</v>
      </c>
      <c r="O209">
        <f>IFERROR(VLOOKUP(C209, [4]Sheet1!A:B, 2, FALSE), "No Data")</f>
        <v>28</v>
      </c>
    </row>
    <row r="210" spans="1:15" ht="22.2" customHeight="1">
      <c r="A210" t="s">
        <v>275</v>
      </c>
      <c r="B210" t="s">
        <v>146</v>
      </c>
      <c r="C210" t="s">
        <v>123</v>
      </c>
      <c r="D210">
        <v>62</v>
      </c>
      <c r="E210">
        <v>15</v>
      </c>
      <c r="F210">
        <f>IFERROR(VLOOKUP(B210, [2]Sheet1!A:C, 2, FALSE), 0)</f>
        <v>0</v>
      </c>
      <c r="G210">
        <f>IFERROR(VLOOKUP(B210, [2]Sheet1!A:D, 3, FALSE), 0)</f>
        <v>0</v>
      </c>
      <c r="H210">
        <f>IFERROR(VLOOKUP(C210, [2]Sheet1!A:C, 2, FALSE), 0)</f>
        <v>2</v>
      </c>
      <c r="I210">
        <f>IFERROR(VLOOKUP(C210, [2]Sheet1!A:C, 3, FALSE), 0)</f>
        <v>4</v>
      </c>
      <c r="M210">
        <v>-1</v>
      </c>
      <c r="N210">
        <f>IFERROR(VLOOKUP(B210, [5]Sheet1!A:B, 2, FALSE), "no")</f>
        <v>32</v>
      </c>
      <c r="O210">
        <f>IFERROR(VLOOKUP(C210, [4]Sheet1!A:B, 2, FALSE), "No Data")</f>
        <v>7</v>
      </c>
    </row>
    <row r="211" spans="1:15" ht="22.2" customHeight="1">
      <c r="A211" t="s">
        <v>276</v>
      </c>
      <c r="B211" t="s">
        <v>54</v>
      </c>
      <c r="C211" t="s">
        <v>73</v>
      </c>
      <c r="D211">
        <v>56</v>
      </c>
      <c r="E211">
        <v>18</v>
      </c>
      <c r="F211">
        <f>IFERROR(VLOOKUP(B211, [2]Sheet1!A:C, 2, FALSE), 0)</f>
        <v>0</v>
      </c>
      <c r="G211">
        <f>IFERROR(VLOOKUP(B211, [2]Sheet1!A:D, 3, FALSE), 0)</f>
        <v>0</v>
      </c>
      <c r="H211">
        <f>IFERROR(VLOOKUP(C211, [2]Sheet1!A:C, 2, FALSE), 0)</f>
        <v>0</v>
      </c>
      <c r="I211">
        <f>IFERROR(VLOOKUP(C211, [2]Sheet1!A:C, 3, FALSE), 0)</f>
        <v>1</v>
      </c>
      <c r="M211">
        <v>-1</v>
      </c>
      <c r="N211">
        <f>IFERROR(VLOOKUP(B211, [5]Sheet1!A:B, 2, FALSE), "no")</f>
        <v>31</v>
      </c>
      <c r="O211">
        <f>IFERROR(VLOOKUP(C211, [4]Sheet1!A:B, 2, FALSE), "No Data")</f>
        <v>18</v>
      </c>
    </row>
    <row r="212" spans="1:15" ht="22.2" customHeight="1">
      <c r="A212" t="s">
        <v>277</v>
      </c>
      <c r="B212" t="s">
        <v>22</v>
      </c>
      <c r="C212" t="s">
        <v>234</v>
      </c>
      <c r="D212">
        <v>1</v>
      </c>
      <c r="E212">
        <v>14</v>
      </c>
      <c r="F212">
        <f>IFERROR(VLOOKUP(B212, [2]Sheet1!A:C, 2, FALSE), 0)</f>
        <v>3</v>
      </c>
      <c r="G212">
        <f>IFERROR(VLOOKUP(B212, [2]Sheet1!A:D, 3, FALSE), 0)</f>
        <v>6</v>
      </c>
      <c r="H212">
        <f>IFERROR(VLOOKUP(C212, [2]Sheet1!A:C, 2, FALSE), 0)</f>
        <v>1</v>
      </c>
      <c r="I212">
        <f>IFERROR(VLOOKUP(C212, [2]Sheet1!A:C, 3, FALSE), 0)</f>
        <v>2</v>
      </c>
      <c r="M212">
        <v>-1</v>
      </c>
      <c r="N212">
        <f>IFERROR(VLOOKUP(B212, [5]Sheet1!A:B, 2, FALSE), "no")</f>
        <v>3</v>
      </c>
      <c r="O212">
        <f>IFERROR(VLOOKUP(C212, [4]Sheet1!A:B, 2, FALSE), "No Data")</f>
        <v>14</v>
      </c>
    </row>
    <row r="213" spans="1:15" ht="22.2" customHeight="1">
      <c r="A213" t="s">
        <v>278</v>
      </c>
      <c r="B213" t="s">
        <v>256</v>
      </c>
      <c r="C213" t="s">
        <v>120</v>
      </c>
      <c r="D213">
        <v>8</v>
      </c>
      <c r="E213">
        <v>23</v>
      </c>
      <c r="F213">
        <f>IFERROR(VLOOKUP(B213, [2]Sheet1!A:C, 2, FALSE), 0)</f>
        <v>1</v>
      </c>
      <c r="G213">
        <f>IFERROR(VLOOKUP(B213, [2]Sheet1!A:D, 3, FALSE), 0)</f>
        <v>2</v>
      </c>
      <c r="H213">
        <f>IFERROR(VLOOKUP(C213, [2]Sheet1!A:C, 2, FALSE), 0)</f>
        <v>1</v>
      </c>
      <c r="I213">
        <f>IFERROR(VLOOKUP(C213, [2]Sheet1!A:C, 3, FALSE), 0)</f>
        <v>2</v>
      </c>
      <c r="M213">
        <v>1</v>
      </c>
      <c r="N213">
        <f>IFERROR(VLOOKUP(B213, [5]Sheet1!A:B, 2, FALSE), "no")</f>
        <v>12</v>
      </c>
      <c r="O213">
        <f>IFERROR(VLOOKUP(C213, [4]Sheet1!A:B, 2, FALSE), "No Data")</f>
        <v>25</v>
      </c>
    </row>
    <row r="214" spans="1:15" ht="22.2" customHeight="1">
      <c r="A214" t="s">
        <v>279</v>
      </c>
      <c r="B214" t="s">
        <v>83</v>
      </c>
      <c r="C214" t="s">
        <v>192</v>
      </c>
      <c r="D214">
        <v>46</v>
      </c>
      <c r="E214">
        <v>12</v>
      </c>
      <c r="F214">
        <f>IFERROR(VLOOKUP(B214, [2]Sheet1!A:C, 2, FALSE), 0)</f>
        <v>0</v>
      </c>
      <c r="G214">
        <f>IFERROR(VLOOKUP(B214, [2]Sheet1!A:D, 3, FALSE), 0)</f>
        <v>1</v>
      </c>
      <c r="H214">
        <f>IFERROR(VLOOKUP(C214, [2]Sheet1!A:C, 2, FALSE), 0)</f>
        <v>0</v>
      </c>
      <c r="I214">
        <f>IFERROR(VLOOKUP(C214, [2]Sheet1!A:C, 3, FALSE), 0)</f>
        <v>1</v>
      </c>
      <c r="M214">
        <v>0</v>
      </c>
      <c r="N214">
        <f>IFERROR(VLOOKUP(B214, [5]Sheet1!A:B, 2, FALSE), "no")</f>
        <v>27</v>
      </c>
      <c r="O214">
        <f>IFERROR(VLOOKUP(C214, [4]Sheet1!A:B, 2, FALSE), "No Data")</f>
        <v>17</v>
      </c>
    </row>
    <row r="215" spans="1:15" ht="22.2" customHeight="1">
      <c r="A215" t="s">
        <v>280</v>
      </c>
      <c r="B215" t="s">
        <v>11</v>
      </c>
      <c r="C215" t="s">
        <v>66</v>
      </c>
      <c r="D215">
        <v>7</v>
      </c>
      <c r="E215">
        <v>10</v>
      </c>
      <c r="F215">
        <f>IFERROR(VLOOKUP(B215, [2]Sheet1!A:C, 2, FALSE), 0)</f>
        <v>1</v>
      </c>
      <c r="G215">
        <f>IFERROR(VLOOKUP(B215, [2]Sheet1!A:D, 3, FALSE), 0)</f>
        <v>2</v>
      </c>
      <c r="H215">
        <f>IFERROR(VLOOKUP(C215, [2]Sheet1!A:C, 2, FALSE), 0)</f>
        <v>1</v>
      </c>
      <c r="I215">
        <f>IFERROR(VLOOKUP(C215, [2]Sheet1!A:C, 3, FALSE), 0)</f>
        <v>2</v>
      </c>
      <c r="M215">
        <v>1</v>
      </c>
      <c r="N215">
        <f>IFERROR(VLOOKUP(B215, [5]Sheet1!A:B, 2, FALSE), "no")</f>
        <v>13</v>
      </c>
      <c r="O215">
        <f>IFERROR(VLOOKUP(C215, [4]Sheet1!A:B, 2, FALSE), "No Data")</f>
        <v>10</v>
      </c>
    </row>
    <row r="216" spans="1:15" ht="22.2" customHeight="1">
      <c r="A216" t="s">
        <v>281</v>
      </c>
      <c r="B216" t="s">
        <v>233</v>
      </c>
      <c r="C216" t="s">
        <v>77</v>
      </c>
      <c r="D216">
        <v>33</v>
      </c>
      <c r="E216">
        <v>26</v>
      </c>
      <c r="F216">
        <f>IFERROR(VLOOKUP(B216, [2]Sheet1!A:C, 2, FALSE), 0)</f>
        <v>0</v>
      </c>
      <c r="G216">
        <f>IFERROR(VLOOKUP(B216, [2]Sheet1!A:D, 3, FALSE), 0)</f>
        <v>0</v>
      </c>
      <c r="H216">
        <f>IFERROR(VLOOKUP(C216, [2]Sheet1!A:C, 2, FALSE), 0)</f>
        <v>0</v>
      </c>
      <c r="I216">
        <f>IFERROR(VLOOKUP(C216, [2]Sheet1!A:C, 3, FALSE), 0)</f>
        <v>1</v>
      </c>
      <c r="M216">
        <v>-1</v>
      </c>
      <c r="N216">
        <f>IFERROR(VLOOKUP(B216, [5]Sheet1!A:B, 2, FALSE), "no")</f>
        <v>30</v>
      </c>
      <c r="O216">
        <f>IFERROR(VLOOKUP(C216, [4]Sheet1!A:B, 2, FALSE), "No Data")</f>
        <v>22</v>
      </c>
    </row>
    <row r="217" spans="1:15" ht="22.2" customHeight="1">
      <c r="A217" t="s">
        <v>282</v>
      </c>
      <c r="B217" t="s">
        <v>76</v>
      </c>
      <c r="C217" t="s">
        <v>33</v>
      </c>
      <c r="D217">
        <v>9</v>
      </c>
      <c r="E217">
        <v>28</v>
      </c>
      <c r="F217">
        <f>IFERROR(VLOOKUP(B217, [2]Sheet1!A:C, 2, FALSE), 0)</f>
        <v>1</v>
      </c>
      <c r="G217">
        <f>IFERROR(VLOOKUP(B217, [2]Sheet1!A:D, 3, FALSE), 0)</f>
        <v>2</v>
      </c>
      <c r="H217">
        <f>IFERROR(VLOOKUP(C217, [2]Sheet1!A:C, 2, FALSE), 0)</f>
        <v>0</v>
      </c>
      <c r="I217">
        <f>IFERROR(VLOOKUP(C217, [2]Sheet1!A:C, 3, FALSE), 0)</f>
        <v>1</v>
      </c>
      <c r="M217">
        <v>-1</v>
      </c>
      <c r="N217">
        <f>IFERROR(VLOOKUP(B217, [5]Sheet1!A:B, 2, FALSE), "no")</f>
        <v>2</v>
      </c>
      <c r="O217">
        <f>IFERROR(VLOOKUP(C217, [4]Sheet1!A:B, 2, FALSE), "No Data")</f>
        <v>20</v>
      </c>
    </row>
    <row r="218" spans="1:15" ht="22.2" customHeight="1">
      <c r="A218" t="s">
        <v>283</v>
      </c>
      <c r="B218" t="s">
        <v>155</v>
      </c>
      <c r="C218" t="s">
        <v>9</v>
      </c>
      <c r="D218">
        <v>6</v>
      </c>
      <c r="E218">
        <v>17</v>
      </c>
      <c r="F218">
        <f>IFERROR(VLOOKUP(B218, [2]Sheet1!A:C, 2, FALSE), 0)</f>
        <v>0</v>
      </c>
      <c r="G218">
        <f>IFERROR(VLOOKUP(B218, [2]Sheet1!A:D, 3, FALSE), 0)</f>
        <v>1</v>
      </c>
      <c r="H218">
        <f>IFERROR(VLOOKUP(C218, [2]Sheet1!A:C, 2, FALSE), 0)</f>
        <v>1</v>
      </c>
      <c r="I218">
        <f>IFERROR(VLOOKUP(C218, [2]Sheet1!A:C, 3, FALSE), 0)</f>
        <v>3</v>
      </c>
      <c r="M218">
        <v>-1</v>
      </c>
      <c r="N218">
        <f>IFERROR(VLOOKUP(B218, [5]Sheet1!A:B, 2, FALSE), "no")</f>
        <v>11</v>
      </c>
      <c r="O218">
        <f>IFERROR(VLOOKUP(C218, [4]Sheet1!A:B, 2, FALSE), "No Data")</f>
        <v>4</v>
      </c>
    </row>
    <row r="219" spans="1:15" ht="22.2" customHeight="1">
      <c r="A219" t="s">
        <v>284</v>
      </c>
      <c r="B219" t="s">
        <v>63</v>
      </c>
      <c r="C219" t="s">
        <v>129</v>
      </c>
      <c r="D219">
        <v>5</v>
      </c>
      <c r="E219">
        <v>43</v>
      </c>
      <c r="F219">
        <f>IFERROR(VLOOKUP(B219, [2]Sheet1!A:C, 2, FALSE), 0)</f>
        <v>2</v>
      </c>
      <c r="G219">
        <f>IFERROR(VLOOKUP(B219, [2]Sheet1!A:D, 3, FALSE), 0)</f>
        <v>4</v>
      </c>
      <c r="H219">
        <f>IFERROR(VLOOKUP(C219, [2]Sheet1!A:C, 2, FALSE), 0)</f>
        <v>0</v>
      </c>
      <c r="I219">
        <f>IFERROR(VLOOKUP(C219, [2]Sheet1!A:C, 3, FALSE), 0)</f>
        <v>0</v>
      </c>
      <c r="M219">
        <v>1</v>
      </c>
      <c r="N219">
        <f>IFERROR(VLOOKUP(B219, [5]Sheet1!A:B, 2, FALSE), "no")</f>
        <v>6</v>
      </c>
      <c r="O219">
        <f>IFERROR(VLOOKUP(C219, [4]Sheet1!A:B, 2, FALSE), "No Data")</f>
        <v>29</v>
      </c>
    </row>
    <row r="220" spans="1:15" ht="22.2" customHeight="1">
      <c r="A220" t="s">
        <v>285</v>
      </c>
      <c r="B220" t="s">
        <v>56</v>
      </c>
      <c r="C220" t="s">
        <v>140</v>
      </c>
      <c r="D220">
        <v>2</v>
      </c>
      <c r="E220">
        <v>37</v>
      </c>
      <c r="F220">
        <f>IFERROR(VLOOKUP(B220, [2]Sheet1!A:C, 2, FALSE), 0)</f>
        <v>2</v>
      </c>
      <c r="G220">
        <f>IFERROR(VLOOKUP(B220, [2]Sheet1!A:D, 3, FALSE), 0)</f>
        <v>4</v>
      </c>
      <c r="H220">
        <f>IFERROR(VLOOKUP(C220, [2]Sheet1!A:C, 2, FALSE), 0)</f>
        <v>0</v>
      </c>
      <c r="I220">
        <f>IFERROR(VLOOKUP(C220, [2]Sheet1!A:C, 3, FALSE), 0)</f>
        <v>1</v>
      </c>
      <c r="M220">
        <v>0</v>
      </c>
      <c r="N220">
        <f>IFERROR(VLOOKUP(B220, [5]Sheet1!A:B, 2, FALSE), "no")</f>
        <v>1</v>
      </c>
      <c r="O220">
        <f>IFERROR(VLOOKUP(C220, [4]Sheet1!A:B, 2, FALSE), "No Data")</f>
        <v>24</v>
      </c>
    </row>
    <row r="221" spans="1:15" ht="22.2" customHeight="1">
      <c r="A221" t="s">
        <v>286</v>
      </c>
      <c r="B221" t="s">
        <v>64</v>
      </c>
      <c r="C221" t="s">
        <v>257</v>
      </c>
      <c r="D221">
        <v>44</v>
      </c>
      <c r="E221">
        <v>21</v>
      </c>
      <c r="F221">
        <f>IFERROR(VLOOKUP(B221, [2]Sheet1!A:C, 2, FALSE), 0)</f>
        <v>0</v>
      </c>
      <c r="G221">
        <f>IFERROR(VLOOKUP(B221, [2]Sheet1!A:D, 3, FALSE), 0)</f>
        <v>1</v>
      </c>
      <c r="H221">
        <f>IFERROR(VLOOKUP(C221, [2]Sheet1!A:C, 2, FALSE), 0)</f>
        <v>0</v>
      </c>
      <c r="I221">
        <f>IFERROR(VLOOKUP(C221, [2]Sheet1!A:C, 3, FALSE), 0)</f>
        <v>1</v>
      </c>
      <c r="M221">
        <v>1</v>
      </c>
      <c r="N221">
        <f>IFERROR(VLOOKUP(B221, [5]Sheet1!A:B, 2, FALSE), "no")</f>
        <v>23</v>
      </c>
      <c r="O221">
        <f>IFERROR(VLOOKUP(C221, [4]Sheet1!A:B, 2, FALSE), "No Data")</f>
        <v>19</v>
      </c>
    </row>
    <row r="222" spans="1:15" ht="22.2" customHeight="1">
      <c r="A222" t="s">
        <v>287</v>
      </c>
      <c r="B222" t="s">
        <v>84</v>
      </c>
      <c r="C222" t="s">
        <v>86</v>
      </c>
      <c r="D222">
        <v>11</v>
      </c>
      <c r="E222">
        <v>19</v>
      </c>
      <c r="F222">
        <f>IFERROR(VLOOKUP(B222, [2]Sheet1!A:C, 2, FALSE), 0)</f>
        <v>1</v>
      </c>
      <c r="G222">
        <f>IFERROR(VLOOKUP(B222, [2]Sheet1!A:D, 3, FALSE), 0)</f>
        <v>3</v>
      </c>
      <c r="H222">
        <f>IFERROR(VLOOKUP(C222, [2]Sheet1!A:C, 2, FALSE), 0)</f>
        <v>0</v>
      </c>
      <c r="I222">
        <f>IFERROR(VLOOKUP(C222, [2]Sheet1!A:C, 3, FALSE), 0)</f>
        <v>1</v>
      </c>
      <c r="M222">
        <v>1</v>
      </c>
      <c r="N222">
        <f>IFERROR(VLOOKUP(B222, [5]Sheet1!A:B, 2, FALSE), "no")</f>
        <v>9</v>
      </c>
      <c r="O222">
        <f>IFERROR(VLOOKUP(C222, [4]Sheet1!A:B, 2, FALSE), "No Data")</f>
        <v>21</v>
      </c>
    </row>
    <row r="223" spans="1:15" ht="22.2" customHeight="1">
      <c r="A223" t="s">
        <v>288</v>
      </c>
      <c r="B223" t="s">
        <v>39</v>
      </c>
      <c r="C223" t="s">
        <v>200</v>
      </c>
      <c r="D223">
        <v>57</v>
      </c>
      <c r="E223">
        <v>22</v>
      </c>
      <c r="F223">
        <f>IFERROR(VLOOKUP(B223, [2]Sheet1!A:C, 2, FALSE), 0)</f>
        <v>0</v>
      </c>
      <c r="G223">
        <f>IFERROR(VLOOKUP(B223, [2]Sheet1!A:D, 3, FALSE), 0)</f>
        <v>0</v>
      </c>
      <c r="H223">
        <f>IFERROR(VLOOKUP(C223, [2]Sheet1!A:C, 2, FALSE), 0)</f>
        <v>0</v>
      </c>
      <c r="I223">
        <f>IFERROR(VLOOKUP(C223, [2]Sheet1!A:C, 3, FALSE), 0)</f>
        <v>1</v>
      </c>
      <c r="M223">
        <v>-1</v>
      </c>
      <c r="N223">
        <f>IFERROR(VLOOKUP(B223, [5]Sheet1!A:B, 2, FALSE), "no")</f>
        <v>28</v>
      </c>
      <c r="O223">
        <f>IFERROR(VLOOKUP(C223, [4]Sheet1!A:B, 2, FALSE), "No Data")</f>
        <v>26</v>
      </c>
    </row>
    <row r="224" spans="1:15" ht="22.2" customHeight="1">
      <c r="A224" t="s">
        <v>289</v>
      </c>
      <c r="B224" t="s">
        <v>45</v>
      </c>
      <c r="C224" t="s">
        <v>43</v>
      </c>
      <c r="D224">
        <v>13</v>
      </c>
      <c r="E224">
        <v>4</v>
      </c>
      <c r="F224">
        <f>IFERROR(VLOOKUP(B224, [2]Sheet1!A:C, 2, FALSE), 0)</f>
        <v>0</v>
      </c>
      <c r="G224">
        <f>IFERROR(VLOOKUP(B224, [2]Sheet1!A:D, 3, FALSE), 0)</f>
        <v>1</v>
      </c>
      <c r="H224">
        <f>IFERROR(VLOOKUP(C224, [2]Sheet1!A:C, 2, FALSE), 0)</f>
        <v>1</v>
      </c>
      <c r="I224">
        <f>IFERROR(VLOOKUP(C224, [2]Sheet1!A:C, 3, FALSE), 0)</f>
        <v>3</v>
      </c>
      <c r="M224">
        <v>0</v>
      </c>
      <c r="N224">
        <f>IFERROR(VLOOKUP(B224, [5]Sheet1!A:B, 2, FALSE), "no")</f>
        <v>16</v>
      </c>
      <c r="O224">
        <f>IFERROR(VLOOKUP(C224, [4]Sheet1!A:B, 2, FALSE), "No Data")</f>
        <v>8</v>
      </c>
    </row>
    <row r="225" spans="1:15" ht="22.2" customHeight="1">
      <c r="A225" t="s">
        <v>290</v>
      </c>
      <c r="B225" t="s">
        <v>146</v>
      </c>
      <c r="C225" t="s">
        <v>22</v>
      </c>
      <c r="D225">
        <v>62</v>
      </c>
      <c r="E225">
        <v>1</v>
      </c>
      <c r="F225">
        <f>IFERROR(VLOOKUP(B225, [2]Sheet1!A:C, 2, FALSE), 0)</f>
        <v>0</v>
      </c>
      <c r="G225">
        <f>IFERROR(VLOOKUP(B225, [2]Sheet1!A:D, 3, FALSE), 0)</f>
        <v>0</v>
      </c>
      <c r="H225">
        <f>IFERROR(VLOOKUP(C225, [2]Sheet1!A:C, 2, FALSE), 0)</f>
        <v>3</v>
      </c>
      <c r="I225">
        <f>IFERROR(VLOOKUP(C225, [2]Sheet1!A:C, 3, FALSE), 0)</f>
        <v>6</v>
      </c>
      <c r="M225">
        <v>-1</v>
      </c>
      <c r="N225">
        <f>IFERROR(VLOOKUP(B225, [5]Sheet1!A:B, 2, FALSE), "no")</f>
        <v>32</v>
      </c>
      <c r="O225">
        <f>IFERROR(VLOOKUP(C225, [4]Sheet1!A:B, 2, FALSE), "No Data")</f>
        <v>3</v>
      </c>
    </row>
    <row r="226" spans="1:15" ht="22.2" customHeight="1">
      <c r="A226" t="s">
        <v>291</v>
      </c>
      <c r="B226" t="s">
        <v>29</v>
      </c>
      <c r="C226" t="s">
        <v>54</v>
      </c>
      <c r="D226">
        <v>3</v>
      </c>
      <c r="E226">
        <v>56</v>
      </c>
      <c r="F226">
        <f>IFERROR(VLOOKUP(B226, [2]Sheet1!A:C, 2, FALSE), 0)</f>
        <v>2</v>
      </c>
      <c r="G226">
        <f>IFERROR(VLOOKUP(B226, [2]Sheet1!A:D, 3, FALSE), 0)</f>
        <v>5</v>
      </c>
      <c r="H226">
        <f>IFERROR(VLOOKUP(C226, [2]Sheet1!A:C, 2, FALSE), 0)</f>
        <v>0</v>
      </c>
      <c r="I226">
        <f>IFERROR(VLOOKUP(C226, [2]Sheet1!A:C, 3, FALSE), 0)</f>
        <v>0</v>
      </c>
      <c r="M226">
        <v>1</v>
      </c>
      <c r="N226">
        <f>IFERROR(VLOOKUP(B226, [5]Sheet1!A:B, 2, FALSE), "no")</f>
        <v>5</v>
      </c>
      <c r="O226">
        <f>IFERROR(VLOOKUP(C226, [4]Sheet1!A:B, 2, FALSE), "No Data")</f>
        <v>31</v>
      </c>
    </row>
    <row r="227" spans="1:15" ht="22.2" customHeight="1">
      <c r="A227" t="s">
        <v>292</v>
      </c>
      <c r="B227" t="s">
        <v>73</v>
      </c>
      <c r="C227" t="s">
        <v>74</v>
      </c>
      <c r="D227">
        <v>18</v>
      </c>
      <c r="E227">
        <v>20</v>
      </c>
      <c r="F227">
        <f>IFERROR(VLOOKUP(B227, [2]Sheet1!A:C, 2, FALSE), 0)</f>
        <v>0</v>
      </c>
      <c r="G227">
        <f>IFERROR(VLOOKUP(B227, [2]Sheet1!A:D, 3, FALSE), 0)</f>
        <v>1</v>
      </c>
      <c r="H227">
        <f>IFERROR(VLOOKUP(C227, [2]Sheet1!A:C, 2, FALSE), 0)</f>
        <v>0</v>
      </c>
      <c r="I227">
        <f>IFERROR(VLOOKUP(C227, [2]Sheet1!A:C, 3, FALSE), 0)</f>
        <v>1</v>
      </c>
      <c r="M227">
        <v>-1</v>
      </c>
      <c r="N227">
        <f>IFERROR(VLOOKUP(B227, [5]Sheet1!A:B, 2, FALSE), "no")</f>
        <v>18</v>
      </c>
      <c r="O227">
        <f>IFERROR(VLOOKUP(C227, [4]Sheet1!A:B, 2, FALSE), "No Data")</f>
        <v>15</v>
      </c>
    </row>
    <row r="228" spans="1:15" ht="22.2" customHeight="1">
      <c r="A228" t="s">
        <v>293</v>
      </c>
      <c r="B228" t="s">
        <v>123</v>
      </c>
      <c r="C228" t="s">
        <v>234</v>
      </c>
      <c r="D228">
        <v>15</v>
      </c>
      <c r="E228">
        <v>14</v>
      </c>
      <c r="F228">
        <f>IFERROR(VLOOKUP(B228, [2]Sheet1!A:C, 2, FALSE), 0)</f>
        <v>2</v>
      </c>
      <c r="G228">
        <f>IFERROR(VLOOKUP(B228, [2]Sheet1!A:D, 3, FALSE), 0)</f>
        <v>4</v>
      </c>
      <c r="H228">
        <f>IFERROR(VLOOKUP(C228, [2]Sheet1!A:C, 2, FALSE), 0)</f>
        <v>1</v>
      </c>
      <c r="I228">
        <f>IFERROR(VLOOKUP(C228, [2]Sheet1!A:C, 3, FALSE), 0)</f>
        <v>2</v>
      </c>
      <c r="M228">
        <v>1</v>
      </c>
      <c r="N228">
        <f>IFERROR(VLOOKUP(B228, [5]Sheet1!A:B, 2, FALSE), "no")</f>
        <v>7</v>
      </c>
      <c r="O228">
        <f>IFERROR(VLOOKUP(C228, [4]Sheet1!A:B, 2, FALSE), "No Data")</f>
        <v>14</v>
      </c>
    </row>
    <row r="229" spans="1:15" ht="22.2" customHeight="1">
      <c r="A229" t="s">
        <v>294</v>
      </c>
      <c r="B229" t="s">
        <v>33</v>
      </c>
      <c r="C229" t="s">
        <v>66</v>
      </c>
      <c r="D229">
        <v>28</v>
      </c>
      <c r="E229">
        <v>10</v>
      </c>
      <c r="F229">
        <f>IFERROR(VLOOKUP(B229, [2]Sheet1!A:C, 2, FALSE), 0)</f>
        <v>0</v>
      </c>
      <c r="G229">
        <f>IFERROR(VLOOKUP(B229, [2]Sheet1!A:D, 3, FALSE), 0)</f>
        <v>1</v>
      </c>
      <c r="H229">
        <f>IFERROR(VLOOKUP(C229, [2]Sheet1!A:C, 2, FALSE), 0)</f>
        <v>1</v>
      </c>
      <c r="I229">
        <f>IFERROR(VLOOKUP(C229, [2]Sheet1!A:C, 3, FALSE), 0)</f>
        <v>2</v>
      </c>
      <c r="M229">
        <v>0</v>
      </c>
      <c r="N229">
        <f>IFERROR(VLOOKUP(B229, [5]Sheet1!A:B, 2, FALSE), "no")</f>
        <v>20</v>
      </c>
      <c r="O229">
        <f>IFERROR(VLOOKUP(C229, [4]Sheet1!A:B, 2, FALSE), "No Data")</f>
        <v>10</v>
      </c>
    </row>
    <row r="230" spans="1:15" ht="22.2" customHeight="1">
      <c r="A230" t="s">
        <v>295</v>
      </c>
      <c r="B230" t="s">
        <v>192</v>
      </c>
      <c r="C230" t="s">
        <v>120</v>
      </c>
      <c r="D230">
        <v>12</v>
      </c>
      <c r="E230">
        <v>23</v>
      </c>
      <c r="F230">
        <f>IFERROR(VLOOKUP(B230, [2]Sheet1!A:C, 2, FALSE), 0)</f>
        <v>0</v>
      </c>
      <c r="G230">
        <f>IFERROR(VLOOKUP(B230, [2]Sheet1!A:D, 3, FALSE), 0)</f>
        <v>1</v>
      </c>
      <c r="H230">
        <f>IFERROR(VLOOKUP(C230, [2]Sheet1!A:C, 2, FALSE), 0)</f>
        <v>1</v>
      </c>
      <c r="I230">
        <f>IFERROR(VLOOKUP(C230, [2]Sheet1!A:C, 3, FALSE), 0)</f>
        <v>2</v>
      </c>
      <c r="M230">
        <v>1</v>
      </c>
      <c r="N230">
        <f>IFERROR(VLOOKUP(B230, [5]Sheet1!A:B, 2, FALSE), "no")</f>
        <v>17</v>
      </c>
      <c r="O230">
        <f>IFERROR(VLOOKUP(C230, [4]Sheet1!A:B, 2, FALSE), "No Data")</f>
        <v>25</v>
      </c>
    </row>
    <row r="231" spans="1:15" ht="22.2" customHeight="1">
      <c r="A231" t="s">
        <v>296</v>
      </c>
      <c r="B231" t="s">
        <v>76</v>
      </c>
      <c r="C231" t="s">
        <v>11</v>
      </c>
      <c r="D231">
        <v>9</v>
      </c>
      <c r="E231">
        <v>7</v>
      </c>
      <c r="F231">
        <f>IFERROR(VLOOKUP(B231, [2]Sheet1!A:C, 2, FALSE), 0)</f>
        <v>1</v>
      </c>
      <c r="G231">
        <f>IFERROR(VLOOKUP(B231, [2]Sheet1!A:D, 3, FALSE), 0)</f>
        <v>2</v>
      </c>
      <c r="H231">
        <f>IFERROR(VLOOKUP(C231, [2]Sheet1!A:C, 2, FALSE), 0)</f>
        <v>1</v>
      </c>
      <c r="I231">
        <f>IFERROR(VLOOKUP(C231, [2]Sheet1!A:C, 3, FALSE), 0)</f>
        <v>2</v>
      </c>
      <c r="M231">
        <v>-1</v>
      </c>
      <c r="N231">
        <f>IFERROR(VLOOKUP(B231, [5]Sheet1!A:B, 2, FALSE), "no")</f>
        <v>2</v>
      </c>
      <c r="O231">
        <f>IFERROR(VLOOKUP(C231, [4]Sheet1!A:B, 2, FALSE), "No Data")</f>
        <v>13</v>
      </c>
    </row>
    <row r="232" spans="1:15" ht="22.2" customHeight="1">
      <c r="A232" t="s">
        <v>297</v>
      </c>
      <c r="B232" t="s">
        <v>83</v>
      </c>
      <c r="C232" t="s">
        <v>256</v>
      </c>
      <c r="D232">
        <v>46</v>
      </c>
      <c r="E232">
        <v>8</v>
      </c>
      <c r="F232">
        <f>IFERROR(VLOOKUP(B232, [2]Sheet1!A:C, 2, FALSE), 0)</f>
        <v>0</v>
      </c>
      <c r="G232">
        <f>IFERROR(VLOOKUP(B232, [2]Sheet1!A:D, 3, FALSE), 0)</f>
        <v>1</v>
      </c>
      <c r="H232">
        <f>IFERROR(VLOOKUP(C232, [2]Sheet1!A:C, 2, FALSE), 0)</f>
        <v>1</v>
      </c>
      <c r="I232">
        <f>IFERROR(VLOOKUP(C232, [2]Sheet1!A:C, 3, FALSE), 0)</f>
        <v>2</v>
      </c>
      <c r="M232">
        <v>-1</v>
      </c>
      <c r="N232">
        <f>IFERROR(VLOOKUP(B232, [5]Sheet1!A:B, 2, FALSE), "no")</f>
        <v>27</v>
      </c>
      <c r="O232">
        <f>IFERROR(VLOOKUP(C232, [4]Sheet1!A:B, 2, FALSE), "No Data")</f>
        <v>12</v>
      </c>
    </row>
    <row r="233" spans="1:15" ht="22.2" customHeight="1">
      <c r="A233" t="s">
        <v>298</v>
      </c>
      <c r="B233" t="s">
        <v>257</v>
      </c>
      <c r="C233" t="s">
        <v>129</v>
      </c>
      <c r="D233">
        <v>21</v>
      </c>
      <c r="E233">
        <v>43</v>
      </c>
      <c r="F233">
        <f>IFERROR(VLOOKUP(B233, [2]Sheet1!A:C, 2, FALSE), 0)</f>
        <v>0</v>
      </c>
      <c r="G233">
        <f>IFERROR(VLOOKUP(B233, [2]Sheet1!A:D, 3, FALSE), 0)</f>
        <v>1</v>
      </c>
      <c r="H233">
        <f>IFERROR(VLOOKUP(C233, [2]Sheet1!A:C, 2, FALSE), 0)</f>
        <v>0</v>
      </c>
      <c r="I233">
        <f>IFERROR(VLOOKUP(C233, [2]Sheet1!A:C, 3, FALSE), 0)</f>
        <v>0</v>
      </c>
      <c r="M233">
        <v>1</v>
      </c>
      <c r="N233">
        <f>IFERROR(VLOOKUP(B233, [5]Sheet1!A:B, 2, FALSE), "no")</f>
        <v>19</v>
      </c>
      <c r="O233">
        <f>IFERROR(VLOOKUP(C233, [4]Sheet1!A:B, 2, FALSE), "No Data")</f>
        <v>29</v>
      </c>
    </row>
    <row r="234" spans="1:15" ht="22.2" customHeight="1">
      <c r="A234" t="s">
        <v>299</v>
      </c>
      <c r="B234" t="s">
        <v>77</v>
      </c>
      <c r="C234" t="s">
        <v>9</v>
      </c>
      <c r="D234">
        <v>26</v>
      </c>
      <c r="E234">
        <v>17</v>
      </c>
      <c r="F234">
        <f>IFERROR(VLOOKUP(B234, [2]Sheet1!A:C, 2, FALSE), 0)</f>
        <v>0</v>
      </c>
      <c r="G234">
        <f>IFERROR(VLOOKUP(B234, [2]Sheet1!A:D, 3, FALSE), 0)</f>
        <v>1</v>
      </c>
      <c r="H234">
        <f>IFERROR(VLOOKUP(C234, [2]Sheet1!A:C, 2, FALSE), 0)</f>
        <v>1</v>
      </c>
      <c r="I234">
        <f>IFERROR(VLOOKUP(C234, [2]Sheet1!A:C, 3, FALSE), 0)</f>
        <v>3</v>
      </c>
      <c r="M234">
        <v>0</v>
      </c>
      <c r="N234">
        <f>IFERROR(VLOOKUP(B234, [5]Sheet1!A:B, 2, FALSE), "no")</f>
        <v>22</v>
      </c>
      <c r="O234">
        <f>IFERROR(VLOOKUP(C234, [4]Sheet1!A:B, 2, FALSE), "No Data")</f>
        <v>4</v>
      </c>
    </row>
    <row r="235" spans="1:15" ht="22.2" customHeight="1">
      <c r="A235" t="s">
        <v>300</v>
      </c>
      <c r="B235" t="s">
        <v>233</v>
      </c>
      <c r="C235" t="s">
        <v>155</v>
      </c>
      <c r="D235">
        <v>33</v>
      </c>
      <c r="E235">
        <v>6</v>
      </c>
      <c r="F235">
        <f>IFERROR(VLOOKUP(B235, [2]Sheet1!A:C, 2, FALSE), 0)</f>
        <v>0</v>
      </c>
      <c r="G235">
        <f>IFERROR(VLOOKUP(B235, [2]Sheet1!A:D, 3, FALSE), 0)</f>
        <v>0</v>
      </c>
      <c r="H235">
        <f>IFERROR(VLOOKUP(C235, [2]Sheet1!A:C, 2, FALSE), 0)</f>
        <v>0</v>
      </c>
      <c r="I235">
        <f>IFERROR(VLOOKUP(C235, [2]Sheet1!A:C, 3, FALSE), 0)</f>
        <v>1</v>
      </c>
      <c r="M235">
        <v>-1</v>
      </c>
      <c r="N235">
        <f>IFERROR(VLOOKUP(B235, [5]Sheet1!A:B, 2, FALSE), "no")</f>
        <v>30</v>
      </c>
      <c r="O235">
        <f>IFERROR(VLOOKUP(C235, [4]Sheet1!A:B, 2, FALSE), "No Data")</f>
        <v>11</v>
      </c>
    </row>
    <row r="236" spans="1:15" ht="22.2" customHeight="1">
      <c r="A236" t="s">
        <v>301</v>
      </c>
      <c r="B236" t="s">
        <v>64</v>
      </c>
      <c r="C236" t="s">
        <v>63</v>
      </c>
      <c r="D236">
        <v>44</v>
      </c>
      <c r="E236">
        <v>5</v>
      </c>
      <c r="F236">
        <f>IFERROR(VLOOKUP(B236, [2]Sheet1!A:C, 2, FALSE), 0)</f>
        <v>0</v>
      </c>
      <c r="G236">
        <f>IFERROR(VLOOKUP(B236, [2]Sheet1!A:D, 3, FALSE), 0)</f>
        <v>1</v>
      </c>
      <c r="H236">
        <f>IFERROR(VLOOKUP(C236, [2]Sheet1!A:C, 2, FALSE), 0)</f>
        <v>2</v>
      </c>
      <c r="I236">
        <f>IFERROR(VLOOKUP(C236, [2]Sheet1!A:C, 3, FALSE), 0)</f>
        <v>4</v>
      </c>
      <c r="M236">
        <v>-1</v>
      </c>
      <c r="N236">
        <f>IFERROR(VLOOKUP(B236, [5]Sheet1!A:B, 2, FALSE), "no")</f>
        <v>23</v>
      </c>
      <c r="O236">
        <f>IFERROR(VLOOKUP(C236, [4]Sheet1!A:B, 2, FALSE), "No Data")</f>
        <v>6</v>
      </c>
    </row>
    <row r="237" spans="1:15" ht="22.2" customHeight="1">
      <c r="A237" t="s">
        <v>302</v>
      </c>
      <c r="B237" t="s">
        <v>200</v>
      </c>
      <c r="C237" t="s">
        <v>86</v>
      </c>
      <c r="D237">
        <v>22</v>
      </c>
      <c r="E237">
        <v>19</v>
      </c>
      <c r="F237">
        <f>IFERROR(VLOOKUP(B237, [2]Sheet1!A:C, 2, FALSE), 0)</f>
        <v>0</v>
      </c>
      <c r="G237">
        <f>IFERROR(VLOOKUP(B237, [2]Sheet1!A:D, 3, FALSE), 0)</f>
        <v>1</v>
      </c>
      <c r="H237">
        <f>IFERROR(VLOOKUP(C237, [2]Sheet1!A:C, 2, FALSE), 0)</f>
        <v>0</v>
      </c>
      <c r="I237">
        <f>IFERROR(VLOOKUP(C237, [2]Sheet1!A:C, 3, FALSE), 0)</f>
        <v>1</v>
      </c>
      <c r="M237">
        <v>0</v>
      </c>
      <c r="N237">
        <f>IFERROR(VLOOKUP(B237, [5]Sheet1!A:B, 2, FALSE), "no")</f>
        <v>26</v>
      </c>
      <c r="O237">
        <f>IFERROR(VLOOKUP(C237, [4]Sheet1!A:B, 2, FALSE), "No Data")</f>
        <v>21</v>
      </c>
    </row>
    <row r="238" spans="1:15" ht="22.2" customHeight="1">
      <c r="A238" t="s">
        <v>303</v>
      </c>
      <c r="B238" t="s">
        <v>39</v>
      </c>
      <c r="C238" t="s">
        <v>84</v>
      </c>
      <c r="D238">
        <v>57</v>
      </c>
      <c r="E238">
        <v>11</v>
      </c>
      <c r="F238">
        <f>IFERROR(VLOOKUP(B238, [2]Sheet1!A:C, 2, FALSE), 0)</f>
        <v>0</v>
      </c>
      <c r="G238">
        <f>IFERROR(VLOOKUP(B238, [2]Sheet1!A:D, 3, FALSE), 0)</f>
        <v>0</v>
      </c>
      <c r="H238">
        <f>IFERROR(VLOOKUP(C238, [2]Sheet1!A:C, 2, FALSE), 0)</f>
        <v>1</v>
      </c>
      <c r="I238">
        <f>IFERROR(VLOOKUP(C238, [2]Sheet1!A:C, 3, FALSE), 0)</f>
        <v>3</v>
      </c>
      <c r="M238">
        <v>-1</v>
      </c>
      <c r="N238">
        <f>IFERROR(VLOOKUP(B238, [5]Sheet1!A:B, 2, FALSE), "no")</f>
        <v>28</v>
      </c>
      <c r="O238">
        <f>IFERROR(VLOOKUP(C238, [4]Sheet1!A:B, 2, FALSE), "No Data")</f>
        <v>9</v>
      </c>
    </row>
    <row r="239" spans="1:15" ht="22.2" customHeight="1">
      <c r="A239" t="s">
        <v>304</v>
      </c>
      <c r="B239" t="s">
        <v>43</v>
      </c>
      <c r="C239" t="s">
        <v>140</v>
      </c>
      <c r="D239">
        <v>4</v>
      </c>
      <c r="E239">
        <v>37</v>
      </c>
      <c r="F239">
        <f>IFERROR(VLOOKUP(B239, [2]Sheet1!A:C, 2, FALSE), 0)</f>
        <v>1</v>
      </c>
      <c r="G239">
        <f>IFERROR(VLOOKUP(B239, [2]Sheet1!A:D, 3, FALSE), 0)</f>
        <v>3</v>
      </c>
      <c r="H239">
        <f>IFERROR(VLOOKUP(C239, [2]Sheet1!A:C, 2, FALSE), 0)</f>
        <v>0</v>
      </c>
      <c r="I239">
        <f>IFERROR(VLOOKUP(C239, [2]Sheet1!A:C, 3, FALSE), 0)</f>
        <v>1</v>
      </c>
      <c r="M239">
        <v>1</v>
      </c>
      <c r="N239">
        <f>IFERROR(VLOOKUP(B239, [5]Sheet1!A:B, 2, FALSE), "no")</f>
        <v>8</v>
      </c>
      <c r="O239">
        <f>IFERROR(VLOOKUP(C239, [4]Sheet1!A:B, 2, FALSE), "No Data")</f>
        <v>24</v>
      </c>
    </row>
    <row r="240" spans="1:15" ht="22.2" customHeight="1">
      <c r="A240" t="s">
        <v>305</v>
      </c>
      <c r="B240" t="s">
        <v>45</v>
      </c>
      <c r="C240" t="s">
        <v>56</v>
      </c>
      <c r="D240">
        <v>13</v>
      </c>
      <c r="E240">
        <v>2</v>
      </c>
      <c r="F240">
        <f>IFERROR(VLOOKUP(B240, [2]Sheet1!A:C, 2, FALSE), 0)</f>
        <v>0</v>
      </c>
      <c r="G240">
        <f>IFERROR(VLOOKUP(B240, [2]Sheet1!A:D, 3, FALSE), 0)</f>
        <v>1</v>
      </c>
      <c r="H240">
        <f>IFERROR(VLOOKUP(C240, [2]Sheet1!A:C, 2, FALSE), 0)</f>
        <v>2</v>
      </c>
      <c r="I240">
        <f>IFERROR(VLOOKUP(C240, [2]Sheet1!A:C, 3, FALSE), 0)</f>
        <v>4</v>
      </c>
      <c r="M240">
        <v>-1</v>
      </c>
      <c r="N240">
        <f>IFERROR(VLOOKUP(B240, [5]Sheet1!A:B, 2, FALSE), "no")</f>
        <v>16</v>
      </c>
      <c r="O240">
        <f>IFERROR(VLOOKUP(C240, [4]Sheet1!A:B, 2, FALSE), "No Data")</f>
        <v>1</v>
      </c>
    </row>
    <row r="241" spans="1:15" ht="22.2" customHeight="1">
      <c r="A241" t="s">
        <v>306</v>
      </c>
      <c r="B241" t="s">
        <v>29</v>
      </c>
      <c r="C241" t="s">
        <v>234</v>
      </c>
      <c r="D241">
        <v>3</v>
      </c>
      <c r="E241">
        <v>14</v>
      </c>
      <c r="F241">
        <f>IFERROR(VLOOKUP(B241, [2]Sheet1!A:C, 2, FALSE), 0)</f>
        <v>2</v>
      </c>
      <c r="G241">
        <f>IFERROR(VLOOKUP(B241, [2]Sheet1!A:D, 3, FALSE), 0)</f>
        <v>5</v>
      </c>
      <c r="H241">
        <f>IFERROR(VLOOKUP(C241, [2]Sheet1!A:C, 2, FALSE), 0)</f>
        <v>1</v>
      </c>
      <c r="I241">
        <f>IFERROR(VLOOKUP(C241, [2]Sheet1!A:C, 3, FALSE), 0)</f>
        <v>2</v>
      </c>
      <c r="M241">
        <v>0</v>
      </c>
      <c r="N241">
        <f>IFERROR(VLOOKUP(B241, [5]Sheet1!A:B, 2, FALSE), "no")</f>
        <v>5</v>
      </c>
      <c r="O241">
        <f>IFERROR(VLOOKUP(C241, [4]Sheet1!A:B, 2, FALSE), "No Data")</f>
        <v>14</v>
      </c>
    </row>
    <row r="242" spans="1:15" ht="22.2" customHeight="1">
      <c r="A242" t="s">
        <v>307</v>
      </c>
      <c r="B242" t="s">
        <v>256</v>
      </c>
      <c r="C242" t="s">
        <v>11</v>
      </c>
      <c r="D242">
        <v>8</v>
      </c>
      <c r="E242">
        <v>7</v>
      </c>
      <c r="F242">
        <f>IFERROR(VLOOKUP(B242, [2]Sheet1!A:C, 2, FALSE), 0)</f>
        <v>1</v>
      </c>
      <c r="G242">
        <f>IFERROR(VLOOKUP(B242, [2]Sheet1!A:D, 3, FALSE), 0)</f>
        <v>2</v>
      </c>
      <c r="H242">
        <f>IFERROR(VLOOKUP(C242, [2]Sheet1!A:C, 2, FALSE), 0)</f>
        <v>1</v>
      </c>
      <c r="I242">
        <f>IFERROR(VLOOKUP(C242, [2]Sheet1!A:C, 3, FALSE), 0)</f>
        <v>2</v>
      </c>
      <c r="M242">
        <v>1</v>
      </c>
      <c r="N242">
        <f>IFERROR(VLOOKUP(B242, [5]Sheet1!A:B, 2, FALSE), "no")</f>
        <v>12</v>
      </c>
      <c r="O242">
        <f>IFERROR(VLOOKUP(C242, [4]Sheet1!A:B, 2, FALSE), "No Data")</f>
        <v>13</v>
      </c>
    </row>
    <row r="243" spans="1:15" ht="22.2" customHeight="1">
      <c r="A243" t="s">
        <v>308</v>
      </c>
      <c r="B243" t="s">
        <v>33</v>
      </c>
      <c r="C243" t="s">
        <v>192</v>
      </c>
      <c r="D243">
        <v>28</v>
      </c>
      <c r="E243">
        <v>12</v>
      </c>
      <c r="F243">
        <f>IFERROR(VLOOKUP(B243, [2]Sheet1!A:C, 2, FALSE), 0)</f>
        <v>0</v>
      </c>
      <c r="G243">
        <f>IFERROR(VLOOKUP(B243, [2]Sheet1!A:D, 3, FALSE), 0)</f>
        <v>1</v>
      </c>
      <c r="H243">
        <f>IFERROR(VLOOKUP(C243, [2]Sheet1!A:C, 2, FALSE), 0)</f>
        <v>0</v>
      </c>
      <c r="I243">
        <f>IFERROR(VLOOKUP(C243, [2]Sheet1!A:C, 3, FALSE), 0)</f>
        <v>1</v>
      </c>
      <c r="M243">
        <v>0</v>
      </c>
      <c r="N243">
        <f>IFERROR(VLOOKUP(B243, [5]Sheet1!A:B, 2, FALSE), "no")</f>
        <v>20</v>
      </c>
      <c r="O243">
        <f>IFERROR(VLOOKUP(C243, [4]Sheet1!A:B, 2, FALSE), "No Data")</f>
        <v>17</v>
      </c>
    </row>
    <row r="244" spans="1:15" ht="22.2" customHeight="1">
      <c r="A244" t="s">
        <v>309</v>
      </c>
      <c r="B244" t="s">
        <v>123</v>
      </c>
      <c r="C244" t="s">
        <v>74</v>
      </c>
      <c r="D244">
        <v>15</v>
      </c>
      <c r="E244">
        <v>20</v>
      </c>
      <c r="F244">
        <f>IFERROR(VLOOKUP(B244, [2]Sheet1!A:C, 2, FALSE), 0)</f>
        <v>2</v>
      </c>
      <c r="G244">
        <f>IFERROR(VLOOKUP(B244, [2]Sheet1!A:D, 3, FALSE), 0)</f>
        <v>4</v>
      </c>
      <c r="H244">
        <f>IFERROR(VLOOKUP(C244, [2]Sheet1!A:C, 2, FALSE), 0)</f>
        <v>0</v>
      </c>
      <c r="I244">
        <f>IFERROR(VLOOKUP(C244, [2]Sheet1!A:C, 3, FALSE), 0)</f>
        <v>1</v>
      </c>
      <c r="M244">
        <v>1</v>
      </c>
      <c r="N244">
        <f>IFERROR(VLOOKUP(B244, [5]Sheet1!A:B, 2, FALSE), "no")</f>
        <v>7</v>
      </c>
      <c r="O244">
        <f>IFERROR(VLOOKUP(C244, [4]Sheet1!A:B, 2, FALSE), "No Data")</f>
        <v>15</v>
      </c>
    </row>
    <row r="245" spans="1:15" ht="22.2" customHeight="1">
      <c r="A245" t="s">
        <v>310</v>
      </c>
      <c r="B245" t="s">
        <v>9</v>
      </c>
      <c r="C245" t="s">
        <v>64</v>
      </c>
      <c r="D245">
        <v>17</v>
      </c>
      <c r="E245">
        <v>44</v>
      </c>
      <c r="F245">
        <f>IFERROR(VLOOKUP(B245, [2]Sheet1!A:C, 2, FALSE), 0)</f>
        <v>1</v>
      </c>
      <c r="G245">
        <f>IFERROR(VLOOKUP(B245, [2]Sheet1!A:D, 3, FALSE), 0)</f>
        <v>3</v>
      </c>
      <c r="H245">
        <f>IFERROR(VLOOKUP(C245, [2]Sheet1!A:C, 2, FALSE), 0)</f>
        <v>0</v>
      </c>
      <c r="I245">
        <f>IFERROR(VLOOKUP(C245, [2]Sheet1!A:C, 3, FALSE), 0)</f>
        <v>1</v>
      </c>
      <c r="M245">
        <v>1</v>
      </c>
      <c r="N245">
        <f>IFERROR(VLOOKUP(B245, [5]Sheet1!A:B, 2, FALSE), "no")</f>
        <v>4</v>
      </c>
      <c r="O245">
        <f>IFERROR(VLOOKUP(C245, [4]Sheet1!A:B, 2, FALSE), "No Data")</f>
        <v>23</v>
      </c>
    </row>
    <row r="246" spans="1:15" ht="22.2" customHeight="1">
      <c r="A246" t="s">
        <v>311</v>
      </c>
      <c r="B246" t="s">
        <v>56</v>
      </c>
      <c r="C246" t="s">
        <v>200</v>
      </c>
      <c r="D246">
        <v>2</v>
      </c>
      <c r="E246">
        <v>22</v>
      </c>
      <c r="F246">
        <f>IFERROR(VLOOKUP(B246, [2]Sheet1!A:C, 2, FALSE), 0)</f>
        <v>2</v>
      </c>
      <c r="G246">
        <f>IFERROR(VLOOKUP(B246, [2]Sheet1!A:D, 3, FALSE), 0)</f>
        <v>4</v>
      </c>
      <c r="H246">
        <f>IFERROR(VLOOKUP(C246, [2]Sheet1!A:C, 2, FALSE), 0)</f>
        <v>0</v>
      </c>
      <c r="I246">
        <f>IFERROR(VLOOKUP(C246, [2]Sheet1!A:C, 3, FALSE), 0)</f>
        <v>1</v>
      </c>
      <c r="M246">
        <v>1</v>
      </c>
      <c r="N246">
        <f>IFERROR(VLOOKUP(B246, [5]Sheet1!A:B, 2, FALSE), "no")</f>
        <v>1</v>
      </c>
      <c r="O246">
        <f>IFERROR(VLOOKUP(C246, [4]Sheet1!A:B, 2, FALSE), "No Data")</f>
        <v>26</v>
      </c>
    </row>
    <row r="247" spans="1:15" ht="22.2" customHeight="1">
      <c r="A247" t="s">
        <v>312</v>
      </c>
      <c r="B247" t="s">
        <v>63</v>
      </c>
      <c r="C247" t="s">
        <v>155</v>
      </c>
      <c r="D247">
        <v>5</v>
      </c>
      <c r="E247">
        <v>6</v>
      </c>
      <c r="F247">
        <f>IFERROR(VLOOKUP(B247, [2]Sheet1!A:C, 2, FALSE), 0)</f>
        <v>2</v>
      </c>
      <c r="G247">
        <f>IFERROR(VLOOKUP(B247, [2]Sheet1!A:D, 3, FALSE), 0)</f>
        <v>4</v>
      </c>
      <c r="H247">
        <f>IFERROR(VLOOKUP(C247, [2]Sheet1!A:C, 2, FALSE), 0)</f>
        <v>0</v>
      </c>
      <c r="I247">
        <f>IFERROR(VLOOKUP(C247, [2]Sheet1!A:C, 3, FALSE), 0)</f>
        <v>1</v>
      </c>
      <c r="M247">
        <v>1</v>
      </c>
      <c r="N247">
        <f>IFERROR(VLOOKUP(B247, [5]Sheet1!A:B, 2, FALSE), "no")</f>
        <v>6</v>
      </c>
      <c r="O247">
        <f>IFERROR(VLOOKUP(C247, [4]Sheet1!A:B, 2, FALSE), "No Data")</f>
        <v>11</v>
      </c>
    </row>
    <row r="248" spans="1:15" ht="22.2" customHeight="1">
      <c r="A248" t="s">
        <v>313</v>
      </c>
      <c r="B248" t="s">
        <v>84</v>
      </c>
      <c r="C248" t="s">
        <v>45</v>
      </c>
      <c r="D248">
        <v>11</v>
      </c>
      <c r="E248">
        <v>13</v>
      </c>
      <c r="F248">
        <f>IFERROR(VLOOKUP(B248, [2]Sheet1!A:C, 2, FALSE), 0)</f>
        <v>1</v>
      </c>
      <c r="G248">
        <f>IFERROR(VLOOKUP(B248, [2]Sheet1!A:D, 3, FALSE), 0)</f>
        <v>3</v>
      </c>
      <c r="H248">
        <f>IFERROR(VLOOKUP(C248, [2]Sheet1!A:C, 2, FALSE), 0)</f>
        <v>0</v>
      </c>
      <c r="I248">
        <f>IFERROR(VLOOKUP(C248, [2]Sheet1!A:C, 3, FALSE), 0)</f>
        <v>1</v>
      </c>
      <c r="M248">
        <v>1</v>
      </c>
      <c r="N248">
        <f>IFERROR(VLOOKUP(B248, [5]Sheet1!A:B, 2, FALSE), "no")</f>
        <v>9</v>
      </c>
      <c r="O248">
        <f>IFERROR(VLOOKUP(C248, [4]Sheet1!A:B, 2, FALSE), "No Data")</f>
        <v>16</v>
      </c>
    </row>
    <row r="249" spans="1:15" ht="22.2" customHeight="1">
      <c r="A249" t="s">
        <v>314</v>
      </c>
      <c r="B249" t="s">
        <v>29</v>
      </c>
      <c r="C249" t="s">
        <v>256</v>
      </c>
      <c r="D249">
        <v>3</v>
      </c>
      <c r="E249">
        <v>8</v>
      </c>
      <c r="F249">
        <f>IFERROR(VLOOKUP(B249, [2]Sheet1!A:C, 2, FALSE), 0)</f>
        <v>2</v>
      </c>
      <c r="G249">
        <f>IFERROR(VLOOKUP(B249, [2]Sheet1!A:D, 3, FALSE), 0)</f>
        <v>5</v>
      </c>
      <c r="H249">
        <f>IFERROR(VLOOKUP(C249, [2]Sheet1!A:C, 2, FALSE), 0)</f>
        <v>1</v>
      </c>
      <c r="I249">
        <f>IFERROR(VLOOKUP(C249, [2]Sheet1!A:C, 3, FALSE), 0)</f>
        <v>2</v>
      </c>
      <c r="M249">
        <v>1</v>
      </c>
      <c r="N249">
        <f>IFERROR(VLOOKUP(B249, [5]Sheet1!A:B, 2, FALSE), "no")</f>
        <v>5</v>
      </c>
      <c r="O249">
        <f>IFERROR(VLOOKUP(C249, [4]Sheet1!A:B, 2, FALSE), "No Data")</f>
        <v>12</v>
      </c>
    </row>
    <row r="250" spans="1:15" ht="22.2" customHeight="1">
      <c r="A250" t="s">
        <v>315</v>
      </c>
      <c r="B250" t="s">
        <v>9</v>
      </c>
      <c r="C250" t="s">
        <v>56</v>
      </c>
      <c r="D250">
        <v>17</v>
      </c>
      <c r="E250">
        <v>2</v>
      </c>
      <c r="F250">
        <f>IFERROR(VLOOKUP(B250, [2]Sheet1!A:C, 2, FALSE), 0)</f>
        <v>1</v>
      </c>
      <c r="G250">
        <f>IFERROR(VLOOKUP(B250, [2]Sheet1!A:D, 3, FALSE), 0)</f>
        <v>3</v>
      </c>
      <c r="H250">
        <f>IFERROR(VLOOKUP(C250, [2]Sheet1!A:C, 2, FALSE), 0)</f>
        <v>2</v>
      </c>
      <c r="I250">
        <f>IFERROR(VLOOKUP(C250, [2]Sheet1!A:C, 3, FALSE), 0)</f>
        <v>4</v>
      </c>
      <c r="M250">
        <v>-1</v>
      </c>
      <c r="N250">
        <f>IFERROR(VLOOKUP(B250, [5]Sheet1!A:B, 2, FALSE), "no")</f>
        <v>4</v>
      </c>
      <c r="O250">
        <f>IFERROR(VLOOKUP(C250, [4]Sheet1!A:B, 2, FALSE), "No Data")</f>
        <v>1</v>
      </c>
    </row>
    <row r="251" spans="1:15" ht="22.2" customHeight="1">
      <c r="A251" t="s">
        <v>316</v>
      </c>
      <c r="B251" t="s">
        <v>63</v>
      </c>
      <c r="C251" t="s">
        <v>84</v>
      </c>
      <c r="D251">
        <v>5</v>
      </c>
      <c r="E251">
        <v>11</v>
      </c>
      <c r="F251">
        <f>IFERROR(VLOOKUP(B251, [2]Sheet1!A:C, 2, FALSE), 0)</f>
        <v>2</v>
      </c>
      <c r="G251">
        <f>IFERROR(VLOOKUP(B251, [2]Sheet1!A:D, 3, FALSE), 0)</f>
        <v>4</v>
      </c>
      <c r="H251">
        <f>IFERROR(VLOOKUP(C251, [2]Sheet1!A:C, 2, FALSE), 0)</f>
        <v>1</v>
      </c>
      <c r="I251">
        <f>IFERROR(VLOOKUP(C251, [2]Sheet1!A:C, 3, FALSE), 0)</f>
        <v>3</v>
      </c>
      <c r="M251">
        <v>1</v>
      </c>
      <c r="N251">
        <f>IFERROR(VLOOKUP(B251, [5]Sheet1!A:B, 2, FALSE), "no")</f>
        <v>6</v>
      </c>
      <c r="O251">
        <f>IFERROR(VLOOKUP(C251, [4]Sheet1!A:B, 2, FALSE), "No Data")</f>
        <v>9</v>
      </c>
    </row>
    <row r="252" spans="1:15" ht="22.2" customHeight="1">
      <c r="A252" t="s">
        <v>317</v>
      </c>
      <c r="B252" t="s">
        <v>123</v>
      </c>
      <c r="C252" t="s">
        <v>33</v>
      </c>
      <c r="D252">
        <v>15</v>
      </c>
      <c r="E252">
        <v>28</v>
      </c>
      <c r="F252">
        <f>IFERROR(VLOOKUP(B252, [2]Sheet1!A:C, 2, FALSE), 0)</f>
        <v>2</v>
      </c>
      <c r="G252">
        <f>IFERROR(VLOOKUP(B252, [2]Sheet1!A:D, 3, FALSE), 0)</f>
        <v>4</v>
      </c>
      <c r="H252">
        <f>IFERROR(VLOOKUP(C252, [2]Sheet1!A:C, 2, FALSE), 0)</f>
        <v>0</v>
      </c>
      <c r="I252">
        <f>IFERROR(VLOOKUP(C252, [2]Sheet1!A:C, 3, FALSE), 0)</f>
        <v>1</v>
      </c>
      <c r="M252">
        <v>0</v>
      </c>
      <c r="N252">
        <f>IFERROR(VLOOKUP(B252, [5]Sheet1!A:B, 2, FALSE), "no")</f>
        <v>7</v>
      </c>
      <c r="O252">
        <f>IFERROR(VLOOKUP(C252, [4]Sheet1!A:B, 2, FALSE), "No Data")</f>
        <v>20</v>
      </c>
    </row>
    <row r="253" spans="1:15" ht="22.2" customHeight="1">
      <c r="A253" t="s">
        <v>318</v>
      </c>
      <c r="B253" t="s">
        <v>29</v>
      </c>
      <c r="C253" t="s">
        <v>56</v>
      </c>
      <c r="D253">
        <v>3</v>
      </c>
      <c r="E253">
        <v>2</v>
      </c>
      <c r="F253">
        <f>IFERROR(VLOOKUP(B253, [2]Sheet1!A:C, 2, FALSE), 0)</f>
        <v>2</v>
      </c>
      <c r="G253">
        <f>IFERROR(VLOOKUP(B253, [2]Sheet1!A:D, 3, FALSE), 0)</f>
        <v>5</v>
      </c>
      <c r="H253">
        <f>IFERROR(VLOOKUP(C253, [2]Sheet1!A:C, 2, FALSE), 0)</f>
        <v>2</v>
      </c>
      <c r="I253">
        <f>IFERROR(VLOOKUP(C253, [2]Sheet1!A:C, 3, FALSE), 0)</f>
        <v>4</v>
      </c>
      <c r="M253">
        <v>-1</v>
      </c>
      <c r="N253">
        <f>IFERROR(VLOOKUP(B253, [5]Sheet1!A:B, 2, FALSE), "no")</f>
        <v>5</v>
      </c>
      <c r="O253">
        <f>IFERROR(VLOOKUP(C253, [4]Sheet1!A:B, 2, FALSE), "No Data")</f>
        <v>1</v>
      </c>
    </row>
    <row r="254" spans="1:15" ht="22.2" customHeight="1">
      <c r="A254" t="s">
        <v>319</v>
      </c>
      <c r="B254" t="s">
        <v>123</v>
      </c>
      <c r="C254" t="s">
        <v>63</v>
      </c>
      <c r="D254">
        <v>15</v>
      </c>
      <c r="E254">
        <v>5</v>
      </c>
      <c r="F254">
        <f>IFERROR(VLOOKUP(B254, [2]Sheet1!A:C, 2, FALSE), 0)</f>
        <v>2</v>
      </c>
      <c r="G254">
        <f>IFERROR(VLOOKUP(B254, [2]Sheet1!A:D, 3, FALSE), 0)</f>
        <v>4</v>
      </c>
      <c r="H254">
        <f>IFERROR(VLOOKUP(C254, [2]Sheet1!A:C, 2, FALSE), 0)</f>
        <v>2</v>
      </c>
      <c r="I254">
        <f>IFERROR(VLOOKUP(C254, [2]Sheet1!A:C, 3, FALSE), 0)</f>
        <v>4</v>
      </c>
      <c r="M254">
        <v>0</v>
      </c>
      <c r="N254">
        <f>IFERROR(VLOOKUP(B254, [5]Sheet1!A:B, 2, FALSE), "no")</f>
        <v>7</v>
      </c>
      <c r="O254">
        <f>IFERROR(VLOOKUP(C254, [4]Sheet1!A:B, 2, FALSE), "No Data")</f>
        <v>6</v>
      </c>
    </row>
    <row r="255" spans="1:15" ht="22.2" customHeight="1">
      <c r="A255" t="s">
        <v>320</v>
      </c>
      <c r="B255" t="s">
        <v>29</v>
      </c>
      <c r="C255" t="s">
        <v>123</v>
      </c>
      <c r="D255">
        <v>3</v>
      </c>
      <c r="E255">
        <v>15</v>
      </c>
      <c r="F255">
        <f>IFERROR(VLOOKUP(B255, [2]Sheet1!A:C, 2, FALSE), 0)</f>
        <v>2</v>
      </c>
      <c r="G255">
        <f>IFERROR(VLOOKUP(B255, [2]Sheet1!A:D, 3, FALSE), 0)</f>
        <v>5</v>
      </c>
      <c r="H255">
        <f>IFERROR(VLOOKUP(C255, [2]Sheet1!A:C, 2, FALSE), 0)</f>
        <v>2</v>
      </c>
      <c r="I255">
        <f>IFERROR(VLOOKUP(C255, [2]Sheet1!A:C, 3, FALSE), 0)</f>
        <v>4</v>
      </c>
      <c r="M255">
        <v>-1</v>
      </c>
      <c r="N255">
        <f>IFERROR(VLOOKUP(B255, [5]Sheet1!A:B, 2, FALSE), "no")</f>
        <v>5</v>
      </c>
      <c r="O255">
        <f>IFERROR(VLOOKUP(C255, [4]Sheet1!A:B, 2, FALSE), "No Data")</f>
        <v>7</v>
      </c>
    </row>
    <row r="256" spans="1:15" ht="22.2" customHeight="1">
      <c r="A256" t="s">
        <v>321</v>
      </c>
      <c r="B256" t="s">
        <v>56</v>
      </c>
      <c r="C256" t="s">
        <v>63</v>
      </c>
      <c r="D256">
        <v>2</v>
      </c>
      <c r="E256">
        <v>5</v>
      </c>
      <c r="F256">
        <f>IFERROR(VLOOKUP(B256, [2]Sheet1!A:C, 2, FALSE), 0)</f>
        <v>2</v>
      </c>
      <c r="G256">
        <f>IFERROR(VLOOKUP(B256, [2]Sheet1!A:D, 3, FALSE), 0)</f>
        <v>9</v>
      </c>
      <c r="H256">
        <f>IFERROR(VLOOKUP(C256, [2]Sheet1!A:C, 2, FALSE), 0)</f>
        <v>2</v>
      </c>
      <c r="I256">
        <f>IFERROR(VLOOKUP(C256, [2]Sheet1!A:C, 3, FALSE), 0)</f>
        <v>4</v>
      </c>
      <c r="M256">
        <v>1</v>
      </c>
      <c r="N256">
        <f>IFERROR(VLOOKUP(B256, [5]Sheet1!A:B, 2, FALSE), "no")</f>
        <v>1</v>
      </c>
      <c r="O256">
        <f>IFERROR(VLOOKUP(C256, [4]Sheet1!A:B, 2, FALSE), "No Data")</f>
        <v>6</v>
      </c>
    </row>
    <row r="257" spans="1:15" ht="22.2" customHeight="1">
      <c r="A257" t="s">
        <v>329</v>
      </c>
      <c r="B257" t="s">
        <v>86</v>
      </c>
      <c r="C257" t="s">
        <v>323</v>
      </c>
      <c r="D257">
        <f>VLOOKUP(B257, [1]Sheet1!A:B, 2, FALSE)</f>
        <v>70</v>
      </c>
      <c r="E257">
        <f>VLOOKUP(C257, [1]Sheet1!A:B, 2, FALSE)</f>
        <v>67</v>
      </c>
      <c r="F257">
        <f>IFERROR(VLOOKUP(B257, [2]Sheet1!A:C, 2, FALSE), 0)</f>
        <v>1</v>
      </c>
      <c r="G257">
        <f>IFERROR(VLOOKUP(B257, [6]Sheet1!A:D, 3, FALSE), 0)</f>
        <v>1</v>
      </c>
      <c r="H257">
        <f>IFERROR(VLOOKUP(C257, [2]Sheet1!A:D, 3, FALSE), 0)</f>
        <v>0</v>
      </c>
      <c r="I257">
        <f>VLOOKUP(C257, [1]Sheet1!A:B, 2, FALSE)</f>
        <v>0</v>
      </c>
      <c r="M257">
        <v>1</v>
      </c>
      <c r="N257">
        <f>IFERROR(VLOOKUP(B257, [5]Sheet1!A:B, 2, FALSE), "no")</f>
        <v>19</v>
      </c>
      <c r="O257">
        <f>IFERROR(VLOOKUP(C257, [4]Sheet1!A:B, 2, FALSE), "No Data")</f>
        <v>31</v>
      </c>
    </row>
    <row r="258" spans="1:15" ht="22.2" customHeight="1">
      <c r="A258" t="s">
        <v>330</v>
      </c>
      <c r="B258" t="s">
        <v>324</v>
      </c>
      <c r="C258" t="s">
        <v>11</v>
      </c>
      <c r="D258">
        <f>VLOOKUP(B258, [1]Sheet1!A:B, 2, FALSE)</f>
        <v>45</v>
      </c>
      <c r="E258">
        <f>VLOOKUP(C258, [1]Sheet1!A:B, 2, FALSE)</f>
        <v>14</v>
      </c>
      <c r="F258">
        <f>IFERROR(VLOOKUP(B258, [2]Sheet1!A:C, 2, FALSE), 0)</f>
        <v>2</v>
      </c>
      <c r="G258">
        <f>IFERROR(VLOOKUP(B258, [6]Sheet1!A:D, 3, FALSE), 0)</f>
        <v>2</v>
      </c>
      <c r="H258">
        <f>IFERROR(VLOOKUP(C258, [2]Sheet1!A:D, 3, FALSE), 0)</f>
        <v>4</v>
      </c>
      <c r="I258">
        <f>VLOOKUP(C258, [1]Sheet1!A:B, 2, FALSE)</f>
        <v>3</v>
      </c>
      <c r="M258">
        <v>-1</v>
      </c>
      <c r="N258">
        <f>IFERROR(VLOOKUP(B258, [5]Sheet1!A:B, 2, FALSE), "no")</f>
        <v>20</v>
      </c>
      <c r="O258">
        <f>IFERROR(VLOOKUP(C258, [4]Sheet1!A:B, 2, FALSE), "No Data")</f>
        <v>10</v>
      </c>
    </row>
    <row r="259" spans="1:15" ht="22.2" customHeight="1">
      <c r="A259" t="s">
        <v>331</v>
      </c>
      <c r="B259" t="s">
        <v>325</v>
      </c>
      <c r="C259" t="s">
        <v>129</v>
      </c>
      <c r="D259">
        <f>VLOOKUP(B259, [1]Sheet1!A:B, 2, FALSE)</f>
        <v>41</v>
      </c>
      <c r="E259">
        <f>VLOOKUP(C259, [1]Sheet1!A:B, 2, FALSE)</f>
        <v>37</v>
      </c>
      <c r="F259">
        <f>IFERROR(VLOOKUP(B259, [2]Sheet1!A:C, 2, FALSE), 0)</f>
        <v>1</v>
      </c>
      <c r="G259">
        <f>IFERROR(VLOOKUP(B259, [6]Sheet1!A:D, 3, FALSE), 0)</f>
        <v>1</v>
      </c>
      <c r="H259">
        <f>IFERROR(VLOOKUP(C259, [2]Sheet1!A:D, 3, FALSE), 0)</f>
        <v>0</v>
      </c>
      <c r="I259">
        <f>VLOOKUP(C259, [1]Sheet1!A:B, 2, FALSE)</f>
        <v>1</v>
      </c>
      <c r="M259">
        <v>-1</v>
      </c>
      <c r="N259">
        <f>IFERROR(VLOOKUP(B259, [5]Sheet1!A:B, 2, FALSE), "no")</f>
        <v>22</v>
      </c>
      <c r="O259">
        <f>IFERROR(VLOOKUP(C259, [4]Sheet1!A:B, 2, FALSE), "No Data")</f>
        <v>26</v>
      </c>
    </row>
    <row r="260" spans="1:15" ht="22.2" customHeight="1">
      <c r="A260" t="s">
        <v>332</v>
      </c>
      <c r="B260" t="s">
        <v>43</v>
      </c>
      <c r="C260" t="s">
        <v>22</v>
      </c>
      <c r="D260">
        <f>VLOOKUP(B260, [1]Sheet1!A:B, 2, FALSE)</f>
        <v>4</v>
      </c>
      <c r="E260">
        <f>VLOOKUP(C260, [1]Sheet1!A:B, 2, FALSE)</f>
        <v>10</v>
      </c>
      <c r="F260">
        <f>IFERROR(VLOOKUP(B260, [2]Sheet1!A:C, 2, FALSE), 0)</f>
        <v>3</v>
      </c>
      <c r="G260">
        <f>IFERROR(VLOOKUP(B260, [6]Sheet1!A:D, 3, FALSE), 0)</f>
        <v>4</v>
      </c>
      <c r="H260">
        <f>IFERROR(VLOOKUP(C260, [2]Sheet1!A:D, 3, FALSE), 0)</f>
        <v>9</v>
      </c>
      <c r="I260">
        <f>VLOOKUP(C260, [1]Sheet1!A:B, 2, FALSE)</f>
        <v>6</v>
      </c>
      <c r="M260">
        <v>0</v>
      </c>
      <c r="N260">
        <f>IFERROR(VLOOKUP(B260, [5]Sheet1!A:B, 2, FALSE), "no")</f>
        <v>8</v>
      </c>
      <c r="O260">
        <f>IFERROR(VLOOKUP(C260, [4]Sheet1!A:B, 2, FALSE), "No Data")</f>
        <v>3</v>
      </c>
    </row>
    <row r="261" spans="1:15" ht="22.2" customHeight="1">
      <c r="A261" t="s">
        <v>333</v>
      </c>
      <c r="B261" t="s">
        <v>9</v>
      </c>
      <c r="C261" t="s">
        <v>146</v>
      </c>
      <c r="D261">
        <f>VLOOKUP(B261, [1]Sheet1!A:B, 2, FALSE)</f>
        <v>7</v>
      </c>
      <c r="E261">
        <f>VLOOKUP(C261, [1]Sheet1!A:B, 2, FALSE)</f>
        <v>36</v>
      </c>
      <c r="F261">
        <f>IFERROR(VLOOKUP(B261, [2]Sheet1!A:C, 2, FALSE), 0)</f>
        <v>6</v>
      </c>
      <c r="G261">
        <f>IFERROR(VLOOKUP(B261, [6]Sheet1!A:D, 3, FALSE), 0)</f>
        <v>8</v>
      </c>
      <c r="H261">
        <f>IFERROR(VLOOKUP(C261, [2]Sheet1!A:D, 3, FALSE), 0)</f>
        <v>0</v>
      </c>
      <c r="I261">
        <f>VLOOKUP(C261, [1]Sheet1!A:B, 2, FALSE)</f>
        <v>1</v>
      </c>
      <c r="M261">
        <v>1</v>
      </c>
      <c r="N261">
        <f>IFERROR(VLOOKUP(B261, [5]Sheet1!A:B, 2, FALSE), "no")</f>
        <v>5</v>
      </c>
      <c r="O261">
        <f>IFERROR(VLOOKUP(C261, [4]Sheet1!A:B, 2, FALSE), "No Data")</f>
        <v>29</v>
      </c>
    </row>
    <row r="262" spans="1:15" ht="22.2" customHeight="1">
      <c r="A262" t="s">
        <v>334</v>
      </c>
      <c r="B262" t="s">
        <v>63</v>
      </c>
      <c r="C262" t="s">
        <v>326</v>
      </c>
      <c r="D262">
        <f>VLOOKUP(B262, [1]Sheet1!A:B, 2, FALSE)</f>
        <v>5</v>
      </c>
      <c r="E262">
        <f>VLOOKUP(C262, [1]Sheet1!A:B, 2, FALSE)</f>
        <v>22</v>
      </c>
      <c r="F262">
        <f>IFERROR(VLOOKUP(B262, [2]Sheet1!A:C, 2, FALSE), 0)</f>
        <v>4</v>
      </c>
      <c r="G262">
        <f>IFERROR(VLOOKUP(B262, [6]Sheet1!A:D, 3, FALSE), 0)</f>
        <v>5</v>
      </c>
      <c r="H262">
        <f>IFERROR(VLOOKUP(C262, [2]Sheet1!A:D, 3, FALSE), 0)</f>
        <v>0</v>
      </c>
      <c r="I262">
        <f>VLOOKUP(C262, [1]Sheet1!A:B, 2, FALSE)</f>
        <v>1</v>
      </c>
      <c r="M262">
        <v>0</v>
      </c>
      <c r="N262">
        <f>IFERROR(VLOOKUP(B262, [5]Sheet1!A:B, 2, FALSE), "no")</f>
        <v>7</v>
      </c>
      <c r="O262">
        <f>IFERROR(VLOOKUP(C262, [4]Sheet1!A:B, 2, FALSE), "No Data")</f>
        <v>30</v>
      </c>
    </row>
    <row r="263" spans="1:15" ht="22.2" customHeight="1">
      <c r="A263" t="s">
        <v>335</v>
      </c>
      <c r="B263" t="s">
        <v>327</v>
      </c>
      <c r="C263" t="s">
        <v>12</v>
      </c>
      <c r="D263">
        <f>VLOOKUP(B263, [1]Sheet1!A:B, 2, FALSE)</f>
        <v>11</v>
      </c>
      <c r="E263">
        <f>VLOOKUP(C263, [1]Sheet1!A:B, 2, FALSE)</f>
        <v>12</v>
      </c>
      <c r="F263">
        <f>IFERROR(VLOOKUP(B263, [2]Sheet1!A:C, 2, FALSE), 0)</f>
        <v>1</v>
      </c>
      <c r="G263">
        <f>IFERROR(VLOOKUP(B263, [6]Sheet1!A:D, 3, FALSE), 0)</f>
        <v>1</v>
      </c>
      <c r="H263">
        <f>IFERROR(VLOOKUP(C263, [2]Sheet1!A:D, 3, FALSE), 0)</f>
        <v>2</v>
      </c>
      <c r="I263">
        <f>VLOOKUP(C263, [1]Sheet1!A:B, 2, FALSE)</f>
        <v>2</v>
      </c>
      <c r="M263">
        <v>-1</v>
      </c>
      <c r="N263">
        <f>IFERROR(VLOOKUP(B263, [5]Sheet1!A:B, 2, FALSE), "no")</f>
        <v>23</v>
      </c>
      <c r="O263">
        <f>IFERROR(VLOOKUP(C263, [4]Sheet1!A:B, 2, FALSE), "No Data")</f>
        <v>18</v>
      </c>
    </row>
    <row r="264" spans="1:15" ht="22.2" customHeight="1">
      <c r="A264" t="s">
        <v>336</v>
      </c>
      <c r="B264" t="s">
        <v>73</v>
      </c>
      <c r="C264" t="s">
        <v>64</v>
      </c>
      <c r="D264">
        <f>VLOOKUP(B264, [1]Sheet1!A:B, 2, FALSE)</f>
        <v>20</v>
      </c>
      <c r="E264">
        <f>VLOOKUP(C264, [1]Sheet1!A:B, 2, FALSE)</f>
        <v>48</v>
      </c>
      <c r="F264">
        <f>IFERROR(VLOOKUP(B264, [2]Sheet1!A:C, 2, FALSE), 0)</f>
        <v>4</v>
      </c>
      <c r="G264">
        <f>IFERROR(VLOOKUP(B264, [6]Sheet1!A:D, 3, FALSE), 0)</f>
        <v>5</v>
      </c>
      <c r="H264">
        <f>IFERROR(VLOOKUP(C264, [2]Sheet1!A:D, 3, FALSE), 0)</f>
        <v>2</v>
      </c>
      <c r="I264">
        <f>VLOOKUP(C264, [1]Sheet1!A:B, 2, FALSE)</f>
        <v>2</v>
      </c>
      <c r="M264">
        <v>1</v>
      </c>
      <c r="N264">
        <f>IFERROR(VLOOKUP(B264, [5]Sheet1!A:B, 2, FALSE), "no")</f>
        <v>13</v>
      </c>
      <c r="O264">
        <f>IFERROR(VLOOKUP(C264, [4]Sheet1!A:B, 2, FALSE), "No Data")</f>
        <v>21</v>
      </c>
    </row>
    <row r="265" spans="1:15" ht="22.2" customHeight="1">
      <c r="A265" t="s">
        <v>337</v>
      </c>
      <c r="B265" t="s">
        <v>33</v>
      </c>
      <c r="C265" t="s">
        <v>122</v>
      </c>
      <c r="D265">
        <f>VLOOKUP(B265, [1]Sheet1!A:B, 2, FALSE)</f>
        <v>23</v>
      </c>
      <c r="E265">
        <f>VLOOKUP(C265, [1]Sheet1!A:B, 2, FALSE)</f>
        <v>34</v>
      </c>
      <c r="F265">
        <f>IFERROR(VLOOKUP(B265, [2]Sheet1!A:C, 2, FALSE), 0)</f>
        <v>2</v>
      </c>
      <c r="G265">
        <f>IFERROR(VLOOKUP(B265, [6]Sheet1!A:D, 3, FALSE), 0)</f>
        <v>2</v>
      </c>
      <c r="H265">
        <f>IFERROR(VLOOKUP(C265, [2]Sheet1!A:D, 3, FALSE), 0)</f>
        <v>1</v>
      </c>
      <c r="I265">
        <f>VLOOKUP(C265, [1]Sheet1!A:B, 2, FALSE)</f>
        <v>1</v>
      </c>
      <c r="M265">
        <v>-1</v>
      </c>
      <c r="N265">
        <f>IFERROR(VLOOKUP(B265, [5]Sheet1!A:B, 2, FALSE), "no")</f>
        <v>11</v>
      </c>
      <c r="O265">
        <f>IFERROR(VLOOKUP(C265, [4]Sheet1!A:B, 2, FALSE), "No Data")</f>
        <v>27</v>
      </c>
    </row>
    <row r="266" spans="1:15" ht="22.2" customHeight="1">
      <c r="A266" t="s">
        <v>338</v>
      </c>
      <c r="B266" t="s">
        <v>56</v>
      </c>
      <c r="C266" t="s">
        <v>74</v>
      </c>
      <c r="D266">
        <f>VLOOKUP(B266, [1]Sheet1!A:B, 2, FALSE)</f>
        <v>1</v>
      </c>
      <c r="E266">
        <f>VLOOKUP(C266, [1]Sheet1!A:B, 2, FALSE)</f>
        <v>15</v>
      </c>
      <c r="F266">
        <f>IFERROR(VLOOKUP(B266, [2]Sheet1!A:C, 2, FALSE), 0)</f>
        <v>6</v>
      </c>
      <c r="G266">
        <f>IFERROR(VLOOKUP(B266, [6]Sheet1!A:D, 3, FALSE), 0)</f>
        <v>9</v>
      </c>
      <c r="H266">
        <f>IFERROR(VLOOKUP(C266, [2]Sheet1!A:D, 3, FALSE), 0)</f>
        <v>2</v>
      </c>
      <c r="I266">
        <f>VLOOKUP(C266, [1]Sheet1!A:B, 2, FALSE)</f>
        <v>2</v>
      </c>
      <c r="M266">
        <v>-1</v>
      </c>
      <c r="N266">
        <f>IFERROR(VLOOKUP(B266, [5]Sheet1!A:B, 2, FALSE), "no")</f>
        <v>2</v>
      </c>
      <c r="O266">
        <f>IFERROR(VLOOKUP(C266, [4]Sheet1!A:B, 2, FALSE), "No Data")</f>
        <v>14</v>
      </c>
    </row>
    <row r="267" spans="1:15" ht="22.2" customHeight="1">
      <c r="A267" t="s">
        <v>339</v>
      </c>
      <c r="B267" t="s">
        <v>29</v>
      </c>
      <c r="C267" t="s">
        <v>155</v>
      </c>
      <c r="D267">
        <f>VLOOKUP(B267, [1]Sheet1!A:B, 2, FALSE)</f>
        <v>2</v>
      </c>
      <c r="E267">
        <f>VLOOKUP(C267, [1]Sheet1!A:B, 2, FALSE)</f>
        <v>6</v>
      </c>
      <c r="F267">
        <f>IFERROR(VLOOKUP(B267, [2]Sheet1!A:C, 2, FALSE), 0)</f>
        <v>7</v>
      </c>
      <c r="G267">
        <f>IFERROR(VLOOKUP(B267, [6]Sheet1!A:D, 3, FALSE), 0)</f>
        <v>10</v>
      </c>
      <c r="H267">
        <f>IFERROR(VLOOKUP(C267, [2]Sheet1!A:D, 3, FALSE), 0)</f>
        <v>3</v>
      </c>
      <c r="I267">
        <f>VLOOKUP(C267, [1]Sheet1!A:B, 2, FALSE)</f>
        <v>2</v>
      </c>
      <c r="M267">
        <v>0</v>
      </c>
      <c r="N267">
        <f>IFERROR(VLOOKUP(B267, [5]Sheet1!A:B, 2, FALSE), "no")</f>
        <v>4</v>
      </c>
      <c r="O267">
        <f>IFERROR(VLOOKUP(C267, [4]Sheet1!A:B, 2, FALSE), "No Data")</f>
        <v>6</v>
      </c>
    </row>
    <row r="268" spans="1:15" ht="22.2" customHeight="1">
      <c r="A268" t="s">
        <v>340</v>
      </c>
      <c r="B268" t="s">
        <v>67</v>
      </c>
      <c r="C268" t="s">
        <v>39</v>
      </c>
      <c r="D268">
        <f>VLOOKUP(B268, [1]Sheet1!A:B, 2, FALSE)</f>
        <v>24</v>
      </c>
      <c r="E268">
        <f>VLOOKUP(C268, [1]Sheet1!A:B, 2, FALSE)</f>
        <v>57</v>
      </c>
      <c r="F268">
        <f>IFERROR(VLOOKUP(B268, [2]Sheet1!A:C, 2, FALSE), 0)</f>
        <v>2</v>
      </c>
      <c r="G268">
        <f>IFERROR(VLOOKUP(B268, [6]Sheet1!A:D, 3, FALSE), 0)</f>
        <v>2</v>
      </c>
      <c r="H268">
        <f>IFERROR(VLOOKUP(C268, [2]Sheet1!A:D, 3, FALSE), 0)</f>
        <v>2</v>
      </c>
      <c r="I268">
        <f>VLOOKUP(C268, [1]Sheet1!A:B, 2, FALSE)</f>
        <v>2</v>
      </c>
      <c r="M268">
        <v>1</v>
      </c>
      <c r="N268">
        <f>IFERROR(VLOOKUP(B268, [5]Sheet1!A:B, 2, FALSE), "no")</f>
        <v>15</v>
      </c>
      <c r="O268">
        <f>IFERROR(VLOOKUP(C268, [4]Sheet1!A:B, 2, FALSE), "No Data")</f>
        <v>25</v>
      </c>
    </row>
    <row r="269" spans="1:15" ht="22.2" customHeight="1">
      <c r="A269" t="s">
        <v>341</v>
      </c>
      <c r="B269" t="s">
        <v>84</v>
      </c>
      <c r="C269" t="s">
        <v>328</v>
      </c>
      <c r="D269">
        <f>VLOOKUP(B269, [1]Sheet1!A:B, 2, FALSE)</f>
        <v>3</v>
      </c>
      <c r="E269">
        <f>VLOOKUP(C269, [1]Sheet1!A:B, 2, FALSE)</f>
        <v>55</v>
      </c>
      <c r="F269">
        <f>IFERROR(VLOOKUP(B269, [2]Sheet1!A:C, 2, FALSE), 0)</f>
        <v>6</v>
      </c>
      <c r="G269">
        <f>IFERROR(VLOOKUP(B269, [6]Sheet1!A:D, 3, FALSE), 0)</f>
        <v>8</v>
      </c>
      <c r="H269">
        <f>IFERROR(VLOOKUP(C269, [2]Sheet1!A:D, 3, FALSE), 0)</f>
        <v>0</v>
      </c>
      <c r="I269">
        <f>VLOOKUP(C269, [1]Sheet1!A:B, 2, FALSE)</f>
        <v>0</v>
      </c>
      <c r="M269">
        <v>1</v>
      </c>
      <c r="N269">
        <f>IFERROR(VLOOKUP(B269, [5]Sheet1!A:B, 2, FALSE), "no")</f>
        <v>1</v>
      </c>
      <c r="O269">
        <f>IFERROR(VLOOKUP(C269, [4]Sheet1!A:B, 2, FALSE), "No Data")</f>
        <v>32</v>
      </c>
    </row>
    <row r="270" spans="1:15" ht="22.2" customHeight="1">
      <c r="A270" t="s">
        <v>342</v>
      </c>
      <c r="B270" t="s">
        <v>87</v>
      </c>
      <c r="C270" t="s">
        <v>66</v>
      </c>
      <c r="D270">
        <f>VLOOKUP(B270, [1]Sheet1!A:B, 2, FALSE)</f>
        <v>21</v>
      </c>
      <c r="E270">
        <f>VLOOKUP(C270, [1]Sheet1!A:B, 2, FALSE)</f>
        <v>12</v>
      </c>
      <c r="F270">
        <f>IFERROR(VLOOKUP(B270, [2]Sheet1!A:C, 2, FALSE), 0)</f>
        <v>1</v>
      </c>
      <c r="G270">
        <f>IFERROR(VLOOKUP(B270, [6]Sheet1!A:D, 3, FALSE), 0)</f>
        <v>0</v>
      </c>
      <c r="H270">
        <f>IFERROR(VLOOKUP(C270, [2]Sheet1!A:D, 3, FALSE), 0)</f>
        <v>6</v>
      </c>
      <c r="I270">
        <f>VLOOKUP(C270, [1]Sheet1!A:B, 2, FALSE)</f>
        <v>4</v>
      </c>
      <c r="M270">
        <v>-1</v>
      </c>
      <c r="N270">
        <f>IFERROR(VLOOKUP(B270, [5]Sheet1!A:B, 2, FALSE), "no")</f>
        <v>28</v>
      </c>
      <c r="O270">
        <f>IFERROR(VLOOKUP(C270, [4]Sheet1!A:B, 2, FALSE), "No Data")</f>
        <v>9</v>
      </c>
    </row>
    <row r="271" spans="1:15" ht="22.2" customHeight="1">
      <c r="A271" t="s">
        <v>343</v>
      </c>
      <c r="B271" t="s">
        <v>256</v>
      </c>
      <c r="C271" t="s">
        <v>83</v>
      </c>
      <c r="D271">
        <f>VLOOKUP(B271, [1]Sheet1!A:B, 2, FALSE)</f>
        <v>16</v>
      </c>
      <c r="E271">
        <f>VLOOKUP(C271, [1]Sheet1!A:B, 2, FALSE)</f>
        <v>61</v>
      </c>
      <c r="F271">
        <f>IFERROR(VLOOKUP(B271, [2]Sheet1!A:C, 2, FALSE), 0)</f>
        <v>3</v>
      </c>
      <c r="G271">
        <f>IFERROR(VLOOKUP(B271, [6]Sheet1!A:D, 3, FALSE), 0)</f>
        <v>4</v>
      </c>
      <c r="H271">
        <f>IFERROR(VLOOKUP(C271, [2]Sheet1!A:D, 3, FALSE), 0)</f>
        <v>1</v>
      </c>
      <c r="I271">
        <f>VLOOKUP(C271, [1]Sheet1!A:B, 2, FALSE)</f>
        <v>1</v>
      </c>
      <c r="M271">
        <v>-1</v>
      </c>
      <c r="N271">
        <f>IFERROR(VLOOKUP(B271, [5]Sheet1!A:B, 2, FALSE), "no")</f>
        <v>16</v>
      </c>
      <c r="O271">
        <f>IFERROR(VLOOKUP(C271, [4]Sheet1!A:B, 2, FALSE), "No Data")</f>
        <v>24</v>
      </c>
    </row>
    <row r="272" spans="1:15" ht="22.2" customHeight="1">
      <c r="A272" t="s">
        <v>344</v>
      </c>
      <c r="B272" t="s">
        <v>40</v>
      </c>
      <c r="C272" t="s">
        <v>10</v>
      </c>
      <c r="D272">
        <f>VLOOKUP(B272, [1]Sheet1!A:B, 2, FALSE)</f>
        <v>8</v>
      </c>
      <c r="E272">
        <f>VLOOKUP(C272, [1]Sheet1!A:B, 2, FALSE)</f>
        <v>27</v>
      </c>
      <c r="F272">
        <f>IFERROR(VLOOKUP(B272, [2]Sheet1!A:C, 2, FALSE), 0)</f>
        <v>2</v>
      </c>
      <c r="G272">
        <f>IFERROR(VLOOKUP(B272, [6]Sheet1!A:D, 3, FALSE), 0)</f>
        <v>2</v>
      </c>
      <c r="H272">
        <f>IFERROR(VLOOKUP(C272, [2]Sheet1!A:D, 3, FALSE), 0)</f>
        <v>2</v>
      </c>
      <c r="I272">
        <f>VLOOKUP(C272, [1]Sheet1!A:B, 2, FALSE)</f>
        <v>2</v>
      </c>
      <c r="M272">
        <v>-1</v>
      </c>
      <c r="N272">
        <f>IFERROR(VLOOKUP(B272, [5]Sheet1!A:B, 2, FALSE), "no")</f>
        <v>12</v>
      </c>
      <c r="O272">
        <f>IFERROR(VLOOKUP(C272, [4]Sheet1!A:B, 2, FALSE), "No Data")</f>
        <v>17</v>
      </c>
    </row>
    <row r="273" spans="1:15" ht="22.2" customHeight="1">
      <c r="A273" t="s">
        <v>345</v>
      </c>
      <c r="B273" t="s">
        <v>86</v>
      </c>
      <c r="C273" t="s">
        <v>324</v>
      </c>
      <c r="D273">
        <f>VLOOKUP(B273, [1]Sheet1!A:B, 2, FALSE)</f>
        <v>70</v>
      </c>
      <c r="E273">
        <f>VLOOKUP(C273, [1]Sheet1!A:B, 2, FALSE)</f>
        <v>45</v>
      </c>
      <c r="F273">
        <f>IFERROR(VLOOKUP(B273, [2]Sheet1!A:C, 2, FALSE), 0)</f>
        <v>1</v>
      </c>
      <c r="G273">
        <f>IFERROR(VLOOKUP(B273, [6]Sheet1!A:D, 3, FALSE), 0)</f>
        <v>1</v>
      </c>
      <c r="H273">
        <f>IFERROR(VLOOKUP(C273, [2]Sheet1!A:D, 3, FALSE), 0)</f>
        <v>2</v>
      </c>
      <c r="I273">
        <f>VLOOKUP(C273, [1]Sheet1!A:B, 2, FALSE)</f>
        <v>2</v>
      </c>
      <c r="M273">
        <v>1</v>
      </c>
      <c r="N273">
        <f>IFERROR(VLOOKUP(B273, [5]Sheet1!A:B, 2, FALSE), "no")</f>
        <v>19</v>
      </c>
      <c r="O273">
        <f>IFERROR(VLOOKUP(C273, [4]Sheet1!A:B, 2, FALSE), "No Data")</f>
        <v>20</v>
      </c>
    </row>
    <row r="274" spans="1:15" ht="22.2" customHeight="1">
      <c r="A274" t="s">
        <v>346</v>
      </c>
      <c r="B274" t="s">
        <v>43</v>
      </c>
      <c r="C274" t="s">
        <v>325</v>
      </c>
      <c r="D274">
        <f>VLOOKUP(B274, [1]Sheet1!A:B, 2, FALSE)</f>
        <v>4</v>
      </c>
      <c r="E274">
        <f>VLOOKUP(C274, [1]Sheet1!A:B, 2, FALSE)</f>
        <v>41</v>
      </c>
      <c r="F274">
        <f>IFERROR(VLOOKUP(B274, [2]Sheet1!A:C, 2, FALSE), 0)</f>
        <v>3</v>
      </c>
      <c r="G274">
        <f>IFERROR(VLOOKUP(B274, [6]Sheet1!A:D, 3, FALSE), 0)</f>
        <v>4</v>
      </c>
      <c r="H274">
        <f>IFERROR(VLOOKUP(C274, [2]Sheet1!A:D, 3, FALSE), 0)</f>
        <v>1</v>
      </c>
      <c r="I274">
        <f>VLOOKUP(C274, [1]Sheet1!A:B, 2, FALSE)</f>
        <v>1</v>
      </c>
      <c r="M274">
        <v>1</v>
      </c>
      <c r="N274">
        <f>IFERROR(VLOOKUP(B274, [5]Sheet1!A:B, 2, FALSE), "no")</f>
        <v>8</v>
      </c>
      <c r="O274">
        <f>IFERROR(VLOOKUP(C274, [4]Sheet1!A:B, 2, FALSE), "No Data")</f>
        <v>22</v>
      </c>
    </row>
    <row r="275" spans="1:15" ht="22.2" customHeight="1">
      <c r="A275" t="s">
        <v>347</v>
      </c>
      <c r="B275" t="s">
        <v>11</v>
      </c>
      <c r="C275" t="s">
        <v>323</v>
      </c>
      <c r="D275">
        <f>VLOOKUP(B275, [1]Sheet1!A:B, 2, FALSE)</f>
        <v>14</v>
      </c>
      <c r="E275">
        <f>VLOOKUP(C275, [1]Sheet1!A:B, 2, FALSE)</f>
        <v>67</v>
      </c>
      <c r="F275">
        <f>IFERROR(VLOOKUP(B275, [2]Sheet1!A:C, 2, FALSE), 0)</f>
        <v>3</v>
      </c>
      <c r="G275">
        <f>IFERROR(VLOOKUP(B275, [6]Sheet1!A:D, 3, FALSE), 0)</f>
        <v>4</v>
      </c>
      <c r="H275">
        <f>IFERROR(VLOOKUP(C275, [2]Sheet1!A:D, 3, FALSE), 0)</f>
        <v>0</v>
      </c>
      <c r="I275">
        <f>VLOOKUP(C275, [1]Sheet1!A:B, 2, FALSE)</f>
        <v>0</v>
      </c>
      <c r="M275">
        <v>1</v>
      </c>
      <c r="N275">
        <f>IFERROR(VLOOKUP(B275, [5]Sheet1!A:B, 2, FALSE), "no")</f>
        <v>10</v>
      </c>
      <c r="O275">
        <f>IFERROR(VLOOKUP(C275, [4]Sheet1!A:B, 2, FALSE), "No Data")</f>
        <v>31</v>
      </c>
    </row>
    <row r="276" spans="1:15" ht="22.2" customHeight="1">
      <c r="A276" t="s">
        <v>348</v>
      </c>
      <c r="B276" t="s">
        <v>129</v>
      </c>
      <c r="C276" t="s">
        <v>22</v>
      </c>
      <c r="D276">
        <f>VLOOKUP(B276, [1]Sheet1!A:B, 2, FALSE)</f>
        <v>37</v>
      </c>
      <c r="E276">
        <f>VLOOKUP(C276, [1]Sheet1!A:B, 2, FALSE)</f>
        <v>10</v>
      </c>
      <c r="F276">
        <f>IFERROR(VLOOKUP(B276, [2]Sheet1!A:C, 2, FALSE), 0)</f>
        <v>1</v>
      </c>
      <c r="G276">
        <f>IFERROR(VLOOKUP(B276, [6]Sheet1!A:D, 3, FALSE), 0)</f>
        <v>0</v>
      </c>
      <c r="H276">
        <f>IFERROR(VLOOKUP(C276, [2]Sheet1!A:D, 3, FALSE), 0)</f>
        <v>9</v>
      </c>
      <c r="I276">
        <f>VLOOKUP(C276, [1]Sheet1!A:B, 2, FALSE)</f>
        <v>6</v>
      </c>
      <c r="M276">
        <v>-1</v>
      </c>
      <c r="N276">
        <f>IFERROR(VLOOKUP(B276, [5]Sheet1!A:B, 2, FALSE), "no")</f>
        <v>26</v>
      </c>
      <c r="O276">
        <f>IFERROR(VLOOKUP(C276, [4]Sheet1!A:B, 2, FALSE), "No Data")</f>
        <v>3</v>
      </c>
    </row>
    <row r="277" spans="1:15" ht="22.2" customHeight="1">
      <c r="A277" t="s">
        <v>349</v>
      </c>
      <c r="B277" t="s">
        <v>12</v>
      </c>
      <c r="C277" t="s">
        <v>146</v>
      </c>
      <c r="D277">
        <f>VLOOKUP(B277, [1]Sheet1!A:B, 2, FALSE)</f>
        <v>12</v>
      </c>
      <c r="E277">
        <f>VLOOKUP(C277, [1]Sheet1!A:B, 2, FALSE)</f>
        <v>36</v>
      </c>
      <c r="F277">
        <f>IFERROR(VLOOKUP(B277, [2]Sheet1!A:C, 2, FALSE), 0)</f>
        <v>2</v>
      </c>
      <c r="G277">
        <f>IFERROR(VLOOKUP(B277, [6]Sheet1!A:D, 3, FALSE), 0)</f>
        <v>2</v>
      </c>
      <c r="H277">
        <f>IFERROR(VLOOKUP(C277, [2]Sheet1!A:D, 3, FALSE), 0)</f>
        <v>0</v>
      </c>
      <c r="I277">
        <f>VLOOKUP(C277, [1]Sheet1!A:B, 2, FALSE)</f>
        <v>1</v>
      </c>
      <c r="M277">
        <v>0</v>
      </c>
      <c r="N277">
        <f>IFERROR(VLOOKUP(B277, [5]Sheet1!A:B, 2, FALSE), "no")</f>
        <v>18</v>
      </c>
      <c r="O277">
        <f>IFERROR(VLOOKUP(C277, [4]Sheet1!A:B, 2, FALSE), "No Data")</f>
        <v>29</v>
      </c>
    </row>
    <row r="278" spans="1:15" ht="22.2" customHeight="1">
      <c r="A278" t="s">
        <v>350</v>
      </c>
      <c r="B278" t="s">
        <v>9</v>
      </c>
      <c r="C278" t="s">
        <v>327</v>
      </c>
      <c r="D278">
        <f>VLOOKUP(B278, [1]Sheet1!A:B, 2, FALSE)</f>
        <v>7</v>
      </c>
      <c r="E278">
        <f>VLOOKUP(C278, [1]Sheet1!A:B, 2, FALSE)</f>
        <v>11</v>
      </c>
      <c r="F278">
        <f>IFERROR(VLOOKUP(B278, [2]Sheet1!A:C, 2, FALSE), 0)</f>
        <v>6</v>
      </c>
      <c r="G278">
        <f>IFERROR(VLOOKUP(B278, [6]Sheet1!A:D, 3, FALSE), 0)</f>
        <v>8</v>
      </c>
      <c r="H278">
        <f>IFERROR(VLOOKUP(C278, [2]Sheet1!A:D, 3, FALSE), 0)</f>
        <v>1</v>
      </c>
      <c r="I278">
        <f>VLOOKUP(C278, [1]Sheet1!A:B, 2, FALSE)</f>
        <v>1</v>
      </c>
      <c r="M278">
        <v>1</v>
      </c>
      <c r="N278">
        <f>IFERROR(VLOOKUP(B278, [5]Sheet1!A:B, 2, FALSE), "no")</f>
        <v>5</v>
      </c>
      <c r="O278">
        <f>IFERROR(VLOOKUP(C278, [4]Sheet1!A:B, 2, FALSE), "No Data")</f>
        <v>23</v>
      </c>
    </row>
    <row r="279" spans="1:15" ht="22.2" customHeight="1">
      <c r="A279" t="s">
        <v>351</v>
      </c>
      <c r="B279" t="s">
        <v>63</v>
      </c>
      <c r="C279" t="s">
        <v>73</v>
      </c>
      <c r="D279">
        <f>VLOOKUP(B279, [1]Sheet1!A:B, 2, FALSE)</f>
        <v>5</v>
      </c>
      <c r="E279">
        <f>VLOOKUP(C279, [1]Sheet1!A:B, 2, FALSE)</f>
        <v>20</v>
      </c>
      <c r="F279">
        <f>IFERROR(VLOOKUP(B279, [2]Sheet1!A:C, 2, FALSE), 0)</f>
        <v>4</v>
      </c>
      <c r="G279">
        <f>IFERROR(VLOOKUP(B279, [6]Sheet1!A:D, 3, FALSE), 0)</f>
        <v>5</v>
      </c>
      <c r="H279">
        <f>IFERROR(VLOOKUP(C279, [2]Sheet1!A:D, 3, FALSE), 0)</f>
        <v>5</v>
      </c>
      <c r="I279">
        <f>VLOOKUP(C279, [1]Sheet1!A:B, 2, FALSE)</f>
        <v>4</v>
      </c>
      <c r="M279">
        <v>-1</v>
      </c>
      <c r="N279">
        <f>IFERROR(VLOOKUP(B279, [5]Sheet1!A:B, 2, FALSE), "no")</f>
        <v>7</v>
      </c>
      <c r="O279">
        <f>IFERROR(VLOOKUP(C279, [4]Sheet1!A:B, 2, FALSE), "No Data")</f>
        <v>13</v>
      </c>
    </row>
    <row r="280" spans="1:15" ht="22.2" customHeight="1">
      <c r="A280" t="s">
        <v>352</v>
      </c>
      <c r="B280" t="s">
        <v>29</v>
      </c>
      <c r="C280" t="s">
        <v>33</v>
      </c>
      <c r="D280">
        <f>VLOOKUP(B280, [1]Sheet1!A:B, 2, FALSE)</f>
        <v>2</v>
      </c>
      <c r="E280">
        <f>VLOOKUP(C280, [1]Sheet1!A:B, 2, FALSE)</f>
        <v>23</v>
      </c>
      <c r="F280">
        <f>IFERROR(VLOOKUP(B280, [2]Sheet1!A:C, 2, FALSE), 0)</f>
        <v>7</v>
      </c>
      <c r="G280">
        <f>IFERROR(VLOOKUP(B280, [6]Sheet1!A:D, 3, FALSE), 0)</f>
        <v>10</v>
      </c>
      <c r="H280">
        <f>IFERROR(VLOOKUP(C280, [2]Sheet1!A:D, 3, FALSE), 0)</f>
        <v>2</v>
      </c>
      <c r="I280">
        <f>VLOOKUP(C280, [1]Sheet1!A:B, 2, FALSE)</f>
        <v>2</v>
      </c>
      <c r="M280">
        <v>1</v>
      </c>
      <c r="N280">
        <f>IFERROR(VLOOKUP(B280, [5]Sheet1!A:B, 2, FALSE), "no")</f>
        <v>4</v>
      </c>
      <c r="O280">
        <f>IFERROR(VLOOKUP(C280, [4]Sheet1!A:B, 2, FALSE), "No Data")</f>
        <v>11</v>
      </c>
    </row>
    <row r="281" spans="1:15" ht="22.2" customHeight="1">
      <c r="A281" t="s">
        <v>353</v>
      </c>
      <c r="B281" t="s">
        <v>64</v>
      </c>
      <c r="C281" t="s">
        <v>326</v>
      </c>
      <c r="D281">
        <f>VLOOKUP(B281, [1]Sheet1!A:B, 2, FALSE)</f>
        <v>48</v>
      </c>
      <c r="E281">
        <f>VLOOKUP(C281, [1]Sheet1!A:B, 2, FALSE)</f>
        <v>22</v>
      </c>
      <c r="F281">
        <f>IFERROR(VLOOKUP(B281, [2]Sheet1!A:C, 2, FALSE), 0)</f>
        <v>2</v>
      </c>
      <c r="G281">
        <f>IFERROR(VLOOKUP(B281, [6]Sheet1!A:D, 3, FALSE), 0)</f>
        <v>2</v>
      </c>
      <c r="H281">
        <f>IFERROR(VLOOKUP(C281, [2]Sheet1!A:D, 3, FALSE), 0)</f>
        <v>0</v>
      </c>
      <c r="I281">
        <f>VLOOKUP(C281, [1]Sheet1!A:B, 2, FALSE)</f>
        <v>1</v>
      </c>
      <c r="M281">
        <v>1</v>
      </c>
      <c r="N281">
        <f>IFERROR(VLOOKUP(B281, [5]Sheet1!A:B, 2, FALSE), "no")</f>
        <v>21</v>
      </c>
      <c r="O281">
        <f>IFERROR(VLOOKUP(C281, [4]Sheet1!A:B, 2, FALSE), "No Data")</f>
        <v>30</v>
      </c>
    </row>
    <row r="282" spans="1:15" ht="22.2" customHeight="1">
      <c r="A282" t="s">
        <v>354</v>
      </c>
      <c r="B282" t="s">
        <v>122</v>
      </c>
      <c r="C282" t="s">
        <v>155</v>
      </c>
      <c r="D282">
        <f>VLOOKUP(B282, [1]Sheet1!A:B, 2, FALSE)</f>
        <v>34</v>
      </c>
      <c r="E282">
        <f>VLOOKUP(C282, [1]Sheet1!A:B, 2, FALSE)</f>
        <v>6</v>
      </c>
      <c r="F282">
        <f>IFERROR(VLOOKUP(B282, [2]Sheet1!A:C, 2, FALSE), 0)</f>
        <v>1</v>
      </c>
      <c r="G282">
        <f>IFERROR(VLOOKUP(B282, [6]Sheet1!A:D, 3, FALSE), 0)</f>
        <v>1</v>
      </c>
      <c r="H282">
        <f>IFERROR(VLOOKUP(C282, [2]Sheet1!A:D, 3, FALSE), 0)</f>
        <v>3</v>
      </c>
      <c r="I282">
        <f>VLOOKUP(C282, [1]Sheet1!A:B, 2, FALSE)</f>
        <v>2</v>
      </c>
      <c r="M282">
        <v>-1</v>
      </c>
      <c r="N282">
        <f>IFERROR(VLOOKUP(B282, [5]Sheet1!A:B, 2, FALSE), "no")</f>
        <v>27</v>
      </c>
      <c r="O282">
        <f>IFERROR(VLOOKUP(C282, [4]Sheet1!A:B, 2, FALSE), "No Data")</f>
        <v>6</v>
      </c>
    </row>
    <row r="283" spans="1:15" ht="22.2" customHeight="1">
      <c r="A283" t="s">
        <v>355</v>
      </c>
      <c r="B283" t="s">
        <v>84</v>
      </c>
      <c r="C283" t="s">
        <v>87</v>
      </c>
      <c r="D283">
        <f>VLOOKUP(B283, [1]Sheet1!A:B, 2, FALSE)</f>
        <v>3</v>
      </c>
      <c r="E283">
        <f>VLOOKUP(C283, [1]Sheet1!A:B, 2, FALSE)</f>
        <v>21</v>
      </c>
      <c r="F283">
        <f>IFERROR(VLOOKUP(B283, [2]Sheet1!A:C, 2, FALSE), 0)</f>
        <v>6</v>
      </c>
      <c r="G283">
        <f>IFERROR(VLOOKUP(B283, [6]Sheet1!A:D, 3, FALSE), 0)</f>
        <v>8</v>
      </c>
      <c r="H283">
        <f>IFERROR(VLOOKUP(C283, [2]Sheet1!A:D, 3, FALSE), 0)</f>
        <v>0</v>
      </c>
      <c r="I283">
        <f>VLOOKUP(C283, [1]Sheet1!A:B, 2, FALSE)</f>
        <v>1</v>
      </c>
      <c r="M283">
        <v>1</v>
      </c>
      <c r="N283">
        <f>IFERROR(VLOOKUP(B283, [5]Sheet1!A:B, 2, FALSE), "no")</f>
        <v>1</v>
      </c>
      <c r="O283">
        <f>IFERROR(VLOOKUP(C283, [4]Sheet1!A:B, 2, FALSE), "No Data")</f>
        <v>28</v>
      </c>
    </row>
    <row r="284" spans="1:15" ht="22.2" customHeight="1">
      <c r="A284" t="s">
        <v>356</v>
      </c>
      <c r="B284" t="s">
        <v>39</v>
      </c>
      <c r="C284" t="s">
        <v>74</v>
      </c>
      <c r="D284">
        <f>VLOOKUP(B284, [1]Sheet1!A:B, 2, FALSE)</f>
        <v>57</v>
      </c>
      <c r="E284">
        <f>VLOOKUP(C284, [1]Sheet1!A:B, 2, FALSE)</f>
        <v>15</v>
      </c>
      <c r="F284">
        <f>IFERROR(VLOOKUP(B284, [2]Sheet1!A:C, 2, FALSE), 0)</f>
        <v>2</v>
      </c>
      <c r="G284">
        <f>IFERROR(VLOOKUP(B284, [6]Sheet1!A:D, 3, FALSE), 0)</f>
        <v>2</v>
      </c>
      <c r="H284">
        <f>IFERROR(VLOOKUP(C284, [2]Sheet1!A:D, 3, FALSE), 0)</f>
        <v>2</v>
      </c>
      <c r="I284">
        <f>VLOOKUP(C284, [1]Sheet1!A:B, 2, FALSE)</f>
        <v>2</v>
      </c>
      <c r="M284">
        <v>-1</v>
      </c>
      <c r="N284">
        <f>IFERROR(VLOOKUP(B284, [5]Sheet1!A:B, 2, FALSE), "no")</f>
        <v>25</v>
      </c>
      <c r="O284">
        <f>IFERROR(VLOOKUP(C284, [4]Sheet1!A:B, 2, FALSE), "No Data")</f>
        <v>14</v>
      </c>
    </row>
    <row r="285" spans="1:15" ht="22.2" customHeight="1">
      <c r="A285" t="s">
        <v>357</v>
      </c>
      <c r="B285" t="s">
        <v>56</v>
      </c>
      <c r="C285" t="s">
        <v>67</v>
      </c>
      <c r="D285">
        <f>VLOOKUP(B285, [1]Sheet1!A:B, 2, FALSE)</f>
        <v>1</v>
      </c>
      <c r="E285">
        <f>VLOOKUP(C285, [1]Sheet1!A:B, 2, FALSE)</f>
        <v>24</v>
      </c>
      <c r="F285">
        <f>IFERROR(VLOOKUP(B285, [2]Sheet1!A:C, 2, FALSE), 0)</f>
        <v>6</v>
      </c>
      <c r="G285">
        <f>IFERROR(VLOOKUP(B285, [6]Sheet1!A:D, 3, FALSE), 0)</f>
        <v>9</v>
      </c>
      <c r="H285">
        <f>IFERROR(VLOOKUP(C285, [2]Sheet1!A:D, 3, FALSE), 0)</f>
        <v>2</v>
      </c>
      <c r="I285">
        <f>VLOOKUP(C285, [1]Sheet1!A:B, 2, FALSE)</f>
        <v>2</v>
      </c>
      <c r="M285">
        <v>1</v>
      </c>
      <c r="N285">
        <f>IFERROR(VLOOKUP(B285, [5]Sheet1!A:B, 2, FALSE), "no")</f>
        <v>2</v>
      </c>
      <c r="O285">
        <f>IFERROR(VLOOKUP(C285, [4]Sheet1!A:B, 2, FALSE), "No Data")</f>
        <v>15</v>
      </c>
    </row>
    <row r="286" spans="1:15" ht="22.2" customHeight="1">
      <c r="A286" t="s">
        <v>358</v>
      </c>
      <c r="B286" t="s">
        <v>66</v>
      </c>
      <c r="C286" t="s">
        <v>328</v>
      </c>
      <c r="D286">
        <f>VLOOKUP(B286, [1]Sheet1!A:B, 2, FALSE)</f>
        <v>12</v>
      </c>
      <c r="E286">
        <f>VLOOKUP(C286, [1]Sheet1!A:B, 2, FALSE)</f>
        <v>55</v>
      </c>
      <c r="F286">
        <f>IFERROR(VLOOKUP(B286, [2]Sheet1!A:C, 2, FALSE), 0)</f>
        <v>4</v>
      </c>
      <c r="G286">
        <f>IFERROR(VLOOKUP(B286, [6]Sheet1!A:D, 3, FALSE), 0)</f>
        <v>6</v>
      </c>
      <c r="H286">
        <f>IFERROR(VLOOKUP(C286, [2]Sheet1!A:D, 3, FALSE), 0)</f>
        <v>0</v>
      </c>
      <c r="I286">
        <f>VLOOKUP(C286, [1]Sheet1!A:B, 2, FALSE)</f>
        <v>0</v>
      </c>
      <c r="M286">
        <v>1</v>
      </c>
      <c r="N286">
        <f>IFERROR(VLOOKUP(B286, [5]Sheet1!A:B, 2, FALSE), "no")</f>
        <v>9</v>
      </c>
      <c r="O286">
        <f>IFERROR(VLOOKUP(C286, [4]Sheet1!A:B, 2, FALSE), "No Data")</f>
        <v>32</v>
      </c>
    </row>
    <row r="287" spans="1:15" ht="22.2" customHeight="1">
      <c r="A287" t="s">
        <v>359</v>
      </c>
      <c r="B287" t="s">
        <v>83</v>
      </c>
      <c r="C287" t="s">
        <v>10</v>
      </c>
      <c r="D287">
        <f>VLOOKUP(B287, [1]Sheet1!A:B, 2, FALSE)</f>
        <v>61</v>
      </c>
      <c r="E287">
        <f>VLOOKUP(C287, [1]Sheet1!A:B, 2, FALSE)</f>
        <v>27</v>
      </c>
      <c r="F287">
        <f>IFERROR(VLOOKUP(B287, [2]Sheet1!A:C, 2, FALSE), 0)</f>
        <v>1</v>
      </c>
      <c r="G287">
        <f>IFERROR(VLOOKUP(B287, [6]Sheet1!A:D, 3, FALSE), 0)</f>
        <v>1</v>
      </c>
      <c r="H287">
        <f>IFERROR(VLOOKUP(C287, [2]Sheet1!A:D, 3, FALSE), 0)</f>
        <v>2</v>
      </c>
      <c r="I287">
        <f>VLOOKUP(C287, [1]Sheet1!A:B, 2, FALSE)</f>
        <v>2</v>
      </c>
      <c r="M287">
        <v>0</v>
      </c>
      <c r="N287">
        <f>IFERROR(VLOOKUP(B287, [5]Sheet1!A:B, 2, FALSE), "no")</f>
        <v>24</v>
      </c>
      <c r="O287">
        <f>IFERROR(VLOOKUP(C287, [4]Sheet1!A:B, 2, FALSE), "No Data")</f>
        <v>17</v>
      </c>
    </row>
    <row r="288" spans="1:15" ht="22.2" customHeight="1">
      <c r="A288" t="s">
        <v>360</v>
      </c>
      <c r="B288" t="s">
        <v>40</v>
      </c>
      <c r="C288" t="s">
        <v>256</v>
      </c>
      <c r="D288">
        <f>VLOOKUP(B288, [1]Sheet1!A:B, 2, FALSE)</f>
        <v>8</v>
      </c>
      <c r="E288">
        <f>VLOOKUP(C288, [1]Sheet1!A:B, 2, FALSE)</f>
        <v>16</v>
      </c>
      <c r="F288">
        <f>IFERROR(VLOOKUP(B288, [2]Sheet1!A:C, 2, FALSE), 0)</f>
        <v>2</v>
      </c>
      <c r="G288">
        <f>IFERROR(VLOOKUP(B288, [6]Sheet1!A:D, 3, FALSE), 0)</f>
        <v>2</v>
      </c>
      <c r="H288">
        <f>IFERROR(VLOOKUP(C288, [2]Sheet1!A:D, 3, FALSE), 0)</f>
        <v>4</v>
      </c>
      <c r="I288">
        <f>VLOOKUP(C288, [1]Sheet1!A:B, 2, FALSE)</f>
        <v>3</v>
      </c>
      <c r="M288">
        <v>-1</v>
      </c>
      <c r="N288">
        <f>IFERROR(VLOOKUP(B288, [5]Sheet1!A:B, 2, FALSE), "no")</f>
        <v>12</v>
      </c>
      <c r="O288">
        <f>IFERROR(VLOOKUP(C288, [4]Sheet1!A:B, 2, FALSE), "No Data")</f>
        <v>16</v>
      </c>
    </row>
    <row r="289" spans="1:15" ht="22.2" customHeight="1">
      <c r="A289" t="s">
        <v>361</v>
      </c>
      <c r="B289" t="s">
        <v>86</v>
      </c>
      <c r="C289" t="s">
        <v>11</v>
      </c>
      <c r="D289">
        <f>VLOOKUP(B289, [1]Sheet1!A:B, 2, FALSE)</f>
        <v>70</v>
      </c>
      <c r="E289">
        <f>VLOOKUP(C289, [1]Sheet1!A:B, 2, FALSE)</f>
        <v>14</v>
      </c>
      <c r="F289">
        <f>IFERROR(VLOOKUP(B289, [2]Sheet1!A:C, 2, FALSE), 0)</f>
        <v>1</v>
      </c>
      <c r="G289">
        <f>IFERROR(VLOOKUP(B289, [6]Sheet1!A:D, 3, FALSE), 0)</f>
        <v>1</v>
      </c>
      <c r="H289">
        <f>IFERROR(VLOOKUP(C289, [2]Sheet1!A:D, 3, FALSE), 0)</f>
        <v>4</v>
      </c>
      <c r="I289">
        <f>VLOOKUP(C289, [1]Sheet1!A:B, 2, FALSE)</f>
        <v>3</v>
      </c>
      <c r="M289">
        <v>-1</v>
      </c>
      <c r="N289">
        <f>IFERROR(VLOOKUP(B289, [5]Sheet1!A:B, 2, FALSE), "no")</f>
        <v>19</v>
      </c>
      <c r="O289">
        <f>IFERROR(VLOOKUP(C289, [4]Sheet1!A:B, 2, FALSE), "No Data")</f>
        <v>10</v>
      </c>
    </row>
    <row r="290" spans="1:15" ht="22.2" customHeight="1">
      <c r="A290" t="s">
        <v>362</v>
      </c>
      <c r="B290" t="s">
        <v>323</v>
      </c>
      <c r="C290" t="s">
        <v>324</v>
      </c>
      <c r="D290">
        <f>VLOOKUP(B290, [1]Sheet1!A:B, 2, FALSE)</f>
        <v>67</v>
      </c>
      <c r="E290">
        <f>VLOOKUP(C290, [1]Sheet1!A:B, 2, FALSE)</f>
        <v>45</v>
      </c>
      <c r="F290">
        <f>IFERROR(VLOOKUP(B290, [2]Sheet1!A:C, 2, FALSE), 0)</f>
        <v>0</v>
      </c>
      <c r="G290">
        <f>IFERROR(VLOOKUP(B290, [6]Sheet1!A:D, 3, FALSE), 0)</f>
        <v>0</v>
      </c>
      <c r="H290">
        <f>IFERROR(VLOOKUP(C290, [2]Sheet1!A:D, 3, FALSE), 0)</f>
        <v>2</v>
      </c>
      <c r="I290">
        <f>VLOOKUP(C290, [1]Sheet1!A:B, 2, FALSE)</f>
        <v>2</v>
      </c>
      <c r="M290">
        <v>1</v>
      </c>
      <c r="N290">
        <f>IFERROR(VLOOKUP(B290, [5]Sheet1!A:B, 2, FALSE), "no")</f>
        <v>31</v>
      </c>
      <c r="O290">
        <f>IFERROR(VLOOKUP(C290, [4]Sheet1!A:B, 2, FALSE), "No Data")</f>
        <v>20</v>
      </c>
    </row>
    <row r="291" spans="1:15" ht="22.2" customHeight="1">
      <c r="A291" t="s">
        <v>363</v>
      </c>
      <c r="B291" t="s">
        <v>22</v>
      </c>
      <c r="C291" t="s">
        <v>325</v>
      </c>
      <c r="D291">
        <f>VLOOKUP(B291, [1]Sheet1!A:B, 2, FALSE)</f>
        <v>10</v>
      </c>
      <c r="E291">
        <f>VLOOKUP(C291, [1]Sheet1!A:B, 2, FALSE)</f>
        <v>41</v>
      </c>
      <c r="F291">
        <f>IFERROR(VLOOKUP(B291, [2]Sheet1!A:C, 2, FALSE), 0)</f>
        <v>6</v>
      </c>
      <c r="G291">
        <f>IFERROR(VLOOKUP(B291, [6]Sheet1!A:D, 3, FALSE), 0)</f>
        <v>9</v>
      </c>
      <c r="H291">
        <f>IFERROR(VLOOKUP(C291, [2]Sheet1!A:D, 3, FALSE), 0)</f>
        <v>1</v>
      </c>
      <c r="I291">
        <f>VLOOKUP(C291, [1]Sheet1!A:B, 2, FALSE)</f>
        <v>1</v>
      </c>
      <c r="M291">
        <v>0</v>
      </c>
      <c r="N291">
        <f>IFERROR(VLOOKUP(B291, [5]Sheet1!A:B, 2, FALSE), "no")</f>
        <v>3</v>
      </c>
      <c r="O291">
        <f>IFERROR(VLOOKUP(C291, [4]Sheet1!A:B, 2, FALSE), "No Data")</f>
        <v>22</v>
      </c>
    </row>
    <row r="292" spans="1:15" ht="22.2" customHeight="1">
      <c r="A292" t="s">
        <v>364</v>
      </c>
      <c r="B292" t="s">
        <v>129</v>
      </c>
      <c r="C292" t="s">
        <v>43</v>
      </c>
      <c r="D292">
        <f>VLOOKUP(B292, [1]Sheet1!A:B, 2, FALSE)</f>
        <v>37</v>
      </c>
      <c r="E292">
        <f>VLOOKUP(C292, [1]Sheet1!A:B, 2, FALSE)</f>
        <v>4</v>
      </c>
      <c r="F292">
        <f>IFERROR(VLOOKUP(B292, [2]Sheet1!A:C, 2, FALSE), 0)</f>
        <v>1</v>
      </c>
      <c r="G292">
        <f>IFERROR(VLOOKUP(B292, [6]Sheet1!A:D, 3, FALSE), 0)</f>
        <v>0</v>
      </c>
      <c r="H292">
        <f>IFERROR(VLOOKUP(C292, [2]Sheet1!A:D, 3, FALSE), 0)</f>
        <v>4</v>
      </c>
      <c r="I292">
        <f>VLOOKUP(C292, [1]Sheet1!A:B, 2, FALSE)</f>
        <v>3</v>
      </c>
      <c r="M292">
        <v>0</v>
      </c>
      <c r="N292">
        <f>IFERROR(VLOOKUP(B292, [5]Sheet1!A:B, 2, FALSE), "no")</f>
        <v>26</v>
      </c>
      <c r="O292">
        <f>IFERROR(VLOOKUP(C292, [4]Sheet1!A:B, 2, FALSE), "No Data")</f>
        <v>8</v>
      </c>
    </row>
    <row r="293" spans="1:15" ht="22.2" customHeight="1">
      <c r="A293" t="s">
        <v>365</v>
      </c>
      <c r="B293" t="s">
        <v>146</v>
      </c>
      <c r="C293" t="s">
        <v>327</v>
      </c>
      <c r="D293">
        <f>VLOOKUP(B293, [1]Sheet1!A:B, 2, FALSE)</f>
        <v>36</v>
      </c>
      <c r="E293">
        <f>VLOOKUP(C293, [1]Sheet1!A:B, 2, FALSE)</f>
        <v>11</v>
      </c>
      <c r="F293">
        <f>IFERROR(VLOOKUP(B293, [2]Sheet1!A:C, 2, FALSE), 0)</f>
        <v>1</v>
      </c>
      <c r="G293">
        <f>IFERROR(VLOOKUP(B293, [6]Sheet1!A:D, 3, FALSE), 0)</f>
        <v>0</v>
      </c>
      <c r="H293">
        <f>IFERROR(VLOOKUP(C293, [2]Sheet1!A:D, 3, FALSE), 0)</f>
        <v>1</v>
      </c>
      <c r="I293">
        <f>VLOOKUP(C293, [1]Sheet1!A:B, 2, FALSE)</f>
        <v>1</v>
      </c>
      <c r="M293">
        <v>-1</v>
      </c>
      <c r="N293">
        <f>IFERROR(VLOOKUP(B293, [5]Sheet1!A:B, 2, FALSE), "no")</f>
        <v>29</v>
      </c>
      <c r="O293">
        <f>IFERROR(VLOOKUP(C293, [4]Sheet1!A:B, 2, FALSE), "No Data")</f>
        <v>23</v>
      </c>
    </row>
    <row r="294" spans="1:15" ht="22.2" customHeight="1">
      <c r="A294" t="s">
        <v>366</v>
      </c>
      <c r="B294" t="s">
        <v>12</v>
      </c>
      <c r="C294" t="s">
        <v>9</v>
      </c>
      <c r="D294">
        <f>VLOOKUP(B294, [1]Sheet1!A:B, 2, FALSE)</f>
        <v>12</v>
      </c>
      <c r="E294">
        <f>VLOOKUP(C294, [1]Sheet1!A:B, 2, FALSE)</f>
        <v>7</v>
      </c>
      <c r="F294">
        <f>IFERROR(VLOOKUP(B294, [2]Sheet1!A:C, 2, FALSE), 0)</f>
        <v>2</v>
      </c>
      <c r="G294">
        <f>IFERROR(VLOOKUP(B294, [6]Sheet1!A:D, 3, FALSE), 0)</f>
        <v>2</v>
      </c>
      <c r="H294">
        <f>IFERROR(VLOOKUP(C294, [2]Sheet1!A:D, 3, FALSE), 0)</f>
        <v>8</v>
      </c>
      <c r="I294">
        <f>VLOOKUP(C294, [1]Sheet1!A:B, 2, FALSE)</f>
        <v>6</v>
      </c>
      <c r="M294">
        <v>0</v>
      </c>
      <c r="N294">
        <f>IFERROR(VLOOKUP(B294, [5]Sheet1!A:B, 2, FALSE), "no")</f>
        <v>18</v>
      </c>
      <c r="O294">
        <f>IFERROR(VLOOKUP(C294, [4]Sheet1!A:B, 2, FALSE), "No Data")</f>
        <v>5</v>
      </c>
    </row>
    <row r="295" spans="1:15" ht="22.2" customHeight="1">
      <c r="A295" t="s">
        <v>367</v>
      </c>
      <c r="B295" t="s">
        <v>64</v>
      </c>
      <c r="C295" t="s">
        <v>63</v>
      </c>
      <c r="D295">
        <f>VLOOKUP(B295, [1]Sheet1!A:B, 2, FALSE)</f>
        <v>48</v>
      </c>
      <c r="E295">
        <f>VLOOKUP(C295, [1]Sheet1!A:B, 2, FALSE)</f>
        <v>5</v>
      </c>
      <c r="F295">
        <f>IFERROR(VLOOKUP(B295, [2]Sheet1!A:C, 2, FALSE), 0)</f>
        <v>2</v>
      </c>
      <c r="G295">
        <f>IFERROR(VLOOKUP(B295, [6]Sheet1!A:D, 3, FALSE), 0)</f>
        <v>2</v>
      </c>
      <c r="H295">
        <f>IFERROR(VLOOKUP(C295, [2]Sheet1!A:D, 3, FALSE), 0)</f>
        <v>5</v>
      </c>
      <c r="I295">
        <f>VLOOKUP(C295, [1]Sheet1!A:B, 2, FALSE)</f>
        <v>4</v>
      </c>
      <c r="M295">
        <v>-1</v>
      </c>
      <c r="N295">
        <f>IFERROR(VLOOKUP(B295, [5]Sheet1!A:B, 2, FALSE), "no")</f>
        <v>21</v>
      </c>
      <c r="O295">
        <f>IFERROR(VLOOKUP(C295, [4]Sheet1!A:B, 2, FALSE), "No Data")</f>
        <v>7</v>
      </c>
    </row>
    <row r="296" spans="1:15" ht="22.2" customHeight="1">
      <c r="A296" t="s">
        <v>368</v>
      </c>
      <c r="B296" t="s">
        <v>326</v>
      </c>
      <c r="C296" t="s">
        <v>73</v>
      </c>
      <c r="D296">
        <f>VLOOKUP(B296, [1]Sheet1!A:B, 2, FALSE)</f>
        <v>22</v>
      </c>
      <c r="E296">
        <f>VLOOKUP(C296, [1]Sheet1!A:B, 2, FALSE)</f>
        <v>20</v>
      </c>
      <c r="F296">
        <f>IFERROR(VLOOKUP(B296, [2]Sheet1!A:C, 2, FALSE), 0)</f>
        <v>1</v>
      </c>
      <c r="G296">
        <f>IFERROR(VLOOKUP(B296, [6]Sheet1!A:D, 3, FALSE), 0)</f>
        <v>0</v>
      </c>
      <c r="H296">
        <f>IFERROR(VLOOKUP(C296, [2]Sheet1!A:D, 3, FALSE), 0)</f>
        <v>5</v>
      </c>
      <c r="I296">
        <f>VLOOKUP(C296, [1]Sheet1!A:B, 2, FALSE)</f>
        <v>4</v>
      </c>
      <c r="M296">
        <v>-1</v>
      </c>
      <c r="N296">
        <f>IFERROR(VLOOKUP(B296, [5]Sheet1!A:B, 2, FALSE), "no")</f>
        <v>30</v>
      </c>
      <c r="O296">
        <f>IFERROR(VLOOKUP(C296, [4]Sheet1!A:B, 2, FALSE), "No Data")</f>
        <v>13</v>
      </c>
    </row>
    <row r="297" spans="1:15" ht="22.2" customHeight="1">
      <c r="A297" t="s">
        <v>369</v>
      </c>
      <c r="B297" t="s">
        <v>39</v>
      </c>
      <c r="C297" t="s">
        <v>56</v>
      </c>
      <c r="D297">
        <f>VLOOKUP(B297, [1]Sheet1!A:B, 2, FALSE)</f>
        <v>57</v>
      </c>
      <c r="E297">
        <f>VLOOKUP(C297, [1]Sheet1!A:B, 2, FALSE)</f>
        <v>1</v>
      </c>
      <c r="F297">
        <f>IFERROR(VLOOKUP(B297, [2]Sheet1!A:C, 2, FALSE), 0)</f>
        <v>2</v>
      </c>
      <c r="G297">
        <f>IFERROR(VLOOKUP(B297, [6]Sheet1!A:D, 3, FALSE), 0)</f>
        <v>2</v>
      </c>
      <c r="H297">
        <f>IFERROR(VLOOKUP(C297, [2]Sheet1!A:D, 3, FALSE), 0)</f>
        <v>9</v>
      </c>
      <c r="I297">
        <f>VLOOKUP(C297, [1]Sheet1!A:B, 2, FALSE)</f>
        <v>6</v>
      </c>
      <c r="M297">
        <v>1</v>
      </c>
      <c r="N297">
        <f>IFERROR(VLOOKUP(B297, [5]Sheet1!A:B, 2, FALSE), "no")</f>
        <v>25</v>
      </c>
      <c r="O297">
        <f>IFERROR(VLOOKUP(C297, [4]Sheet1!A:B, 2, FALSE), "No Data")</f>
        <v>2</v>
      </c>
    </row>
    <row r="298" spans="1:15" ht="22.2" customHeight="1">
      <c r="A298" t="s">
        <v>370</v>
      </c>
      <c r="B298" t="s">
        <v>74</v>
      </c>
      <c r="C298" t="s">
        <v>67</v>
      </c>
      <c r="D298">
        <f>VLOOKUP(B298, [1]Sheet1!A:B, 2, FALSE)</f>
        <v>15</v>
      </c>
      <c r="E298">
        <f>VLOOKUP(C298, [1]Sheet1!A:B, 2, FALSE)</f>
        <v>24</v>
      </c>
      <c r="F298">
        <f>IFERROR(VLOOKUP(B298, [2]Sheet1!A:C, 2, FALSE), 0)</f>
        <v>2</v>
      </c>
      <c r="G298">
        <f>IFERROR(VLOOKUP(B298, [6]Sheet1!A:D, 3, FALSE), 0)</f>
        <v>2</v>
      </c>
      <c r="H298">
        <f>IFERROR(VLOOKUP(C298, [2]Sheet1!A:D, 3, FALSE), 0)</f>
        <v>2</v>
      </c>
      <c r="I298">
        <f>VLOOKUP(C298, [1]Sheet1!A:B, 2, FALSE)</f>
        <v>2</v>
      </c>
      <c r="M298">
        <v>-1</v>
      </c>
      <c r="N298">
        <f>IFERROR(VLOOKUP(B298, [5]Sheet1!A:B, 2, FALSE), "no")</f>
        <v>14</v>
      </c>
      <c r="O298">
        <f>IFERROR(VLOOKUP(C298, [4]Sheet1!A:B, 2, FALSE), "No Data")</f>
        <v>15</v>
      </c>
    </row>
    <row r="299" spans="1:15" ht="22.2" customHeight="1">
      <c r="A299" t="s">
        <v>371</v>
      </c>
      <c r="B299" t="s">
        <v>122</v>
      </c>
      <c r="C299" t="s">
        <v>29</v>
      </c>
      <c r="D299">
        <f>VLOOKUP(B299, [1]Sheet1!A:B, 2, FALSE)</f>
        <v>34</v>
      </c>
      <c r="E299">
        <f>VLOOKUP(C299, [1]Sheet1!A:B, 2, FALSE)</f>
        <v>2</v>
      </c>
      <c r="F299">
        <f>IFERROR(VLOOKUP(B299, [2]Sheet1!A:C, 2, FALSE), 0)</f>
        <v>1</v>
      </c>
      <c r="G299">
        <f>IFERROR(VLOOKUP(B299, [6]Sheet1!A:D, 3, FALSE), 0)</f>
        <v>1</v>
      </c>
      <c r="H299">
        <f>IFERROR(VLOOKUP(C299, [2]Sheet1!A:D, 3, FALSE), 0)</f>
        <v>10</v>
      </c>
      <c r="I299">
        <f>VLOOKUP(C299, [1]Sheet1!A:B, 2, FALSE)</f>
        <v>7</v>
      </c>
      <c r="M299">
        <v>-1</v>
      </c>
      <c r="N299">
        <f>IFERROR(VLOOKUP(B299, [5]Sheet1!A:B, 2, FALSE), "no")</f>
        <v>27</v>
      </c>
      <c r="O299">
        <f>IFERROR(VLOOKUP(C299, [4]Sheet1!A:B, 2, FALSE), "No Data")</f>
        <v>4</v>
      </c>
    </row>
    <row r="300" spans="1:15" ht="22.2" customHeight="1">
      <c r="A300" t="s">
        <v>372</v>
      </c>
      <c r="B300" t="s">
        <v>155</v>
      </c>
      <c r="C300" t="s">
        <v>33</v>
      </c>
      <c r="D300">
        <f>VLOOKUP(B300, [1]Sheet1!A:B, 2, FALSE)</f>
        <v>6</v>
      </c>
      <c r="E300">
        <f>VLOOKUP(C300, [1]Sheet1!A:B, 2, FALSE)</f>
        <v>23</v>
      </c>
      <c r="F300">
        <f>IFERROR(VLOOKUP(B300, [2]Sheet1!A:C, 2, FALSE), 0)</f>
        <v>2</v>
      </c>
      <c r="G300">
        <f>IFERROR(VLOOKUP(B300, [6]Sheet1!A:D, 3, FALSE), 0)</f>
        <v>3</v>
      </c>
      <c r="H300">
        <f>IFERROR(VLOOKUP(C300, [2]Sheet1!A:D, 3, FALSE), 0)</f>
        <v>2</v>
      </c>
      <c r="I300">
        <f>VLOOKUP(C300, [1]Sheet1!A:B, 2, FALSE)</f>
        <v>2</v>
      </c>
      <c r="M300">
        <v>0</v>
      </c>
      <c r="N300">
        <f>IFERROR(VLOOKUP(B300, [5]Sheet1!A:B, 2, FALSE), "no")</f>
        <v>6</v>
      </c>
      <c r="O300">
        <f>IFERROR(VLOOKUP(C300, [4]Sheet1!A:B, 2, FALSE), "No Data")</f>
        <v>11</v>
      </c>
    </row>
    <row r="301" spans="1:15" ht="22.2" customHeight="1">
      <c r="A301" t="s">
        <v>373</v>
      </c>
      <c r="B301" t="s">
        <v>83</v>
      </c>
      <c r="C301" t="s">
        <v>40</v>
      </c>
      <c r="D301">
        <f>VLOOKUP(B301, [1]Sheet1!A:B, 2, FALSE)</f>
        <v>61</v>
      </c>
      <c r="E301">
        <f>VLOOKUP(C301, [1]Sheet1!A:B, 2, FALSE)</f>
        <v>8</v>
      </c>
      <c r="F301">
        <f>IFERROR(VLOOKUP(B301, [2]Sheet1!A:C, 2, FALSE), 0)</f>
        <v>1</v>
      </c>
      <c r="G301">
        <f>IFERROR(VLOOKUP(B301, [6]Sheet1!A:D, 3, FALSE), 0)</f>
        <v>1</v>
      </c>
      <c r="H301">
        <f>IFERROR(VLOOKUP(C301, [2]Sheet1!A:D, 3, FALSE), 0)</f>
        <v>2</v>
      </c>
      <c r="I301">
        <f>VLOOKUP(C301, [1]Sheet1!A:B, 2, FALSE)</f>
        <v>2</v>
      </c>
      <c r="M301">
        <v>-1</v>
      </c>
      <c r="N301">
        <f>IFERROR(VLOOKUP(B301, [5]Sheet1!A:B, 2, FALSE), "no")</f>
        <v>24</v>
      </c>
      <c r="O301">
        <f>IFERROR(VLOOKUP(C301, [4]Sheet1!A:B, 2, FALSE), "No Data")</f>
        <v>12</v>
      </c>
    </row>
    <row r="302" spans="1:15" ht="22.2" customHeight="1">
      <c r="A302" t="s">
        <v>374</v>
      </c>
      <c r="B302" t="s">
        <v>10</v>
      </c>
      <c r="C302" t="s">
        <v>256</v>
      </c>
      <c r="D302">
        <f>VLOOKUP(B302, [1]Sheet1!A:B, 2, FALSE)</f>
        <v>27</v>
      </c>
      <c r="E302">
        <f>VLOOKUP(C302, [1]Sheet1!A:B, 2, FALSE)</f>
        <v>16</v>
      </c>
      <c r="F302">
        <f>IFERROR(VLOOKUP(B302, [2]Sheet1!A:C, 2, FALSE), 0)</f>
        <v>2</v>
      </c>
      <c r="G302">
        <f>IFERROR(VLOOKUP(B302, [6]Sheet1!A:D, 3, FALSE), 0)</f>
        <v>2</v>
      </c>
      <c r="H302">
        <f>IFERROR(VLOOKUP(C302, [2]Sheet1!A:D, 3, FALSE), 0)</f>
        <v>4</v>
      </c>
      <c r="I302">
        <f>VLOOKUP(C302, [1]Sheet1!A:B, 2, FALSE)</f>
        <v>3</v>
      </c>
      <c r="M302">
        <v>-1</v>
      </c>
      <c r="N302">
        <f>IFERROR(VLOOKUP(B302, [5]Sheet1!A:B, 2, FALSE), "no")</f>
        <v>17</v>
      </c>
      <c r="O302">
        <f>IFERROR(VLOOKUP(C302, [4]Sheet1!A:B, 2, FALSE), "No Data")</f>
        <v>16</v>
      </c>
    </row>
    <row r="303" spans="1:15" ht="22.2" customHeight="1">
      <c r="A303" t="s">
        <v>375</v>
      </c>
      <c r="B303" t="s">
        <v>328</v>
      </c>
      <c r="C303" t="s">
        <v>87</v>
      </c>
      <c r="D303">
        <f>VLOOKUP(B303, [1]Sheet1!A:B, 2, FALSE)</f>
        <v>55</v>
      </c>
      <c r="E303">
        <f>VLOOKUP(C303, [1]Sheet1!A:B, 2, FALSE)</f>
        <v>21</v>
      </c>
      <c r="F303">
        <f>IFERROR(VLOOKUP(B303, [2]Sheet1!A:C, 2, FALSE), 0)</f>
        <v>0</v>
      </c>
      <c r="G303">
        <f>IFERROR(VLOOKUP(B303, [6]Sheet1!A:D, 3, FALSE), 0)</f>
        <v>0</v>
      </c>
      <c r="H303">
        <f>IFERROR(VLOOKUP(C303, [2]Sheet1!A:D, 3, FALSE), 0)</f>
        <v>0</v>
      </c>
      <c r="I303">
        <f>VLOOKUP(C303, [1]Sheet1!A:B, 2, FALSE)</f>
        <v>1</v>
      </c>
      <c r="M303">
        <v>-1</v>
      </c>
      <c r="N303">
        <f>IFERROR(VLOOKUP(B303, [5]Sheet1!A:B, 2, FALSE), "no")</f>
        <v>32</v>
      </c>
      <c r="O303">
        <f>IFERROR(VLOOKUP(C303, [4]Sheet1!A:B, 2, FALSE), "No Data")</f>
        <v>28</v>
      </c>
    </row>
    <row r="304" spans="1:15" ht="22.2" customHeight="1">
      <c r="A304" t="s">
        <v>376</v>
      </c>
      <c r="B304" t="s">
        <v>66</v>
      </c>
      <c r="C304" t="s">
        <v>84</v>
      </c>
      <c r="D304">
        <f>VLOOKUP(B304, [1]Sheet1!A:B, 2, FALSE)</f>
        <v>12</v>
      </c>
      <c r="E304">
        <f>VLOOKUP(C304, [1]Sheet1!A:B, 2, FALSE)</f>
        <v>3</v>
      </c>
      <c r="F304">
        <f>IFERROR(VLOOKUP(B304, [2]Sheet1!A:C, 2, FALSE), 0)</f>
        <v>4</v>
      </c>
      <c r="G304">
        <f>IFERROR(VLOOKUP(B304, [6]Sheet1!A:D, 3, FALSE), 0)</f>
        <v>6</v>
      </c>
      <c r="H304">
        <f>IFERROR(VLOOKUP(C304, [2]Sheet1!A:D, 3, FALSE), 0)</f>
        <v>8</v>
      </c>
      <c r="I304">
        <f>VLOOKUP(C304, [1]Sheet1!A:B, 2, FALSE)</f>
        <v>6</v>
      </c>
      <c r="M304">
        <v>-1</v>
      </c>
      <c r="N304">
        <f>IFERROR(VLOOKUP(B304, [5]Sheet1!A:B, 2, FALSE), "no")</f>
        <v>9</v>
      </c>
      <c r="O304">
        <f>IFERROR(VLOOKUP(C304, [4]Sheet1!A:B, 2, FALSE), "No Data")</f>
        <v>1</v>
      </c>
    </row>
    <row r="305" spans="1:15" ht="22.2" customHeight="1">
      <c r="A305" t="s">
        <v>377</v>
      </c>
      <c r="B305" t="s">
        <v>9</v>
      </c>
      <c r="C305" t="s">
        <v>63</v>
      </c>
      <c r="D305">
        <f>VLOOKUP(B305, [1]Sheet1!A:B, 2, FALSE)</f>
        <v>7</v>
      </c>
      <c r="E305">
        <f>VLOOKUP(C305, [1]Sheet1!A:B, 2, FALSE)</f>
        <v>5</v>
      </c>
      <c r="F305">
        <f>IFERROR(VLOOKUP(B305, [2]Sheet1!A:C, 2, FALSE), 0)</f>
        <v>6</v>
      </c>
      <c r="G305">
        <f>IFERROR(VLOOKUP(B305, [6]Sheet1!A:D, 3, FALSE), 0)</f>
        <v>8</v>
      </c>
      <c r="H305">
        <f>IFERROR(VLOOKUP(C305, [2]Sheet1!A:D, 3, FALSE), 0)</f>
        <v>5</v>
      </c>
      <c r="I305">
        <f>VLOOKUP(C305, [1]Sheet1!A:B, 2, FALSE)</f>
        <v>4</v>
      </c>
      <c r="M305">
        <v>1</v>
      </c>
      <c r="N305">
        <f>IFERROR(VLOOKUP(B305, [5]Sheet1!A:B, 2, FALSE), "no")</f>
        <v>5</v>
      </c>
      <c r="O305">
        <f>IFERROR(VLOOKUP(C305, [4]Sheet1!A:B, 2, FALSE), "No Data")</f>
        <v>7</v>
      </c>
    </row>
    <row r="306" spans="1:15" ht="22.2" customHeight="1">
      <c r="A306" t="s">
        <v>378</v>
      </c>
      <c r="B306" t="s">
        <v>11</v>
      </c>
      <c r="C306" t="s">
        <v>43</v>
      </c>
      <c r="D306">
        <f>VLOOKUP(B306, [1]Sheet1!A:B, 2, FALSE)</f>
        <v>14</v>
      </c>
      <c r="E306">
        <f>VLOOKUP(C306, [1]Sheet1!A:B, 2, FALSE)</f>
        <v>4</v>
      </c>
      <c r="F306">
        <f>IFERROR(VLOOKUP(B306, [2]Sheet1!A:C, 2, FALSE), 0)</f>
        <v>3</v>
      </c>
      <c r="G306">
        <f>IFERROR(VLOOKUP(B306, [6]Sheet1!A:D, 3, FALSE), 0)</f>
        <v>4</v>
      </c>
      <c r="H306">
        <f>IFERROR(VLOOKUP(C306, [2]Sheet1!A:D, 3, FALSE), 0)</f>
        <v>4</v>
      </c>
      <c r="I306">
        <f>VLOOKUP(C306, [1]Sheet1!A:B, 2, FALSE)</f>
        <v>3</v>
      </c>
      <c r="M306">
        <v>1</v>
      </c>
      <c r="N306">
        <f>IFERROR(VLOOKUP(B306, [5]Sheet1!A:B, 2, FALSE), "no")</f>
        <v>10</v>
      </c>
      <c r="O306">
        <f>IFERROR(VLOOKUP(C306, [4]Sheet1!A:B, 2, FALSE), "No Data")</f>
        <v>8</v>
      </c>
    </row>
    <row r="307" spans="1:15" ht="22.2" customHeight="1">
      <c r="A307" t="s">
        <v>379</v>
      </c>
      <c r="B307" t="s">
        <v>86</v>
      </c>
      <c r="C307" t="s">
        <v>22</v>
      </c>
      <c r="D307">
        <f>VLOOKUP(B307, [1]Sheet1!A:B, 2, FALSE)</f>
        <v>70</v>
      </c>
      <c r="E307">
        <f>VLOOKUP(C307, [1]Sheet1!A:B, 2, FALSE)</f>
        <v>10</v>
      </c>
      <c r="F307">
        <f>IFERROR(VLOOKUP(B307, [2]Sheet1!A:C, 2, FALSE), 0)</f>
        <v>1</v>
      </c>
      <c r="G307">
        <f>IFERROR(VLOOKUP(B307, [6]Sheet1!A:D, 3, FALSE), 0)</f>
        <v>1</v>
      </c>
      <c r="H307">
        <f>IFERROR(VLOOKUP(C307, [2]Sheet1!A:D, 3, FALSE), 0)</f>
        <v>9</v>
      </c>
      <c r="I307">
        <f>VLOOKUP(C307, [1]Sheet1!A:B, 2, FALSE)</f>
        <v>6</v>
      </c>
      <c r="M307">
        <v>0</v>
      </c>
      <c r="N307">
        <f>IFERROR(VLOOKUP(B307, [5]Sheet1!A:B, 2, FALSE), "no")</f>
        <v>19</v>
      </c>
      <c r="O307">
        <f>IFERROR(VLOOKUP(C307, [4]Sheet1!A:B, 2, FALSE), "No Data")</f>
        <v>3</v>
      </c>
    </row>
    <row r="308" spans="1:15" ht="22.2" customHeight="1">
      <c r="A308" t="s">
        <v>380</v>
      </c>
      <c r="B308" t="s">
        <v>73</v>
      </c>
      <c r="C308" t="s">
        <v>12</v>
      </c>
      <c r="D308">
        <f>VLOOKUP(B308, [1]Sheet1!A:B, 2, FALSE)</f>
        <v>20</v>
      </c>
      <c r="E308">
        <f>VLOOKUP(C308, [1]Sheet1!A:B, 2, FALSE)</f>
        <v>12</v>
      </c>
      <c r="F308">
        <f>IFERROR(VLOOKUP(B308, [2]Sheet1!A:C, 2, FALSE), 0)</f>
        <v>4</v>
      </c>
      <c r="G308">
        <f>IFERROR(VLOOKUP(B308, [6]Sheet1!A:D, 3, FALSE), 0)</f>
        <v>5</v>
      </c>
      <c r="H308">
        <f>IFERROR(VLOOKUP(C308, [2]Sheet1!A:D, 3, FALSE), 0)</f>
        <v>2</v>
      </c>
      <c r="I308">
        <f>VLOOKUP(C308, [1]Sheet1!A:B, 2, FALSE)</f>
        <v>2</v>
      </c>
      <c r="M308">
        <v>0</v>
      </c>
      <c r="N308">
        <f>IFERROR(VLOOKUP(B308, [5]Sheet1!A:B, 2, FALSE), "no")</f>
        <v>13</v>
      </c>
      <c r="O308">
        <f>IFERROR(VLOOKUP(C308, [4]Sheet1!A:B, 2, FALSE), "No Data")</f>
        <v>18</v>
      </c>
    </row>
    <row r="309" spans="1:15" ht="22.2" customHeight="1">
      <c r="A309" t="s">
        <v>381</v>
      </c>
      <c r="B309" t="s">
        <v>29</v>
      </c>
      <c r="C309" t="s">
        <v>74</v>
      </c>
      <c r="D309">
        <f>VLOOKUP(B309, [1]Sheet1!A:B, 2, FALSE)</f>
        <v>2</v>
      </c>
      <c r="E309">
        <f>VLOOKUP(C309, [1]Sheet1!A:B, 2, FALSE)</f>
        <v>15</v>
      </c>
      <c r="F309">
        <f>IFERROR(VLOOKUP(B309, [2]Sheet1!A:C, 2, FALSE), 0)</f>
        <v>7</v>
      </c>
      <c r="G309">
        <f>IFERROR(VLOOKUP(B309, [6]Sheet1!A:D, 3, FALSE), 0)</f>
        <v>10</v>
      </c>
      <c r="H309">
        <f>IFERROR(VLOOKUP(C309, [2]Sheet1!A:D, 3, FALSE), 0)</f>
        <v>2</v>
      </c>
      <c r="I309">
        <f>VLOOKUP(C309, [1]Sheet1!A:B, 2, FALSE)</f>
        <v>2</v>
      </c>
      <c r="M309">
        <v>1</v>
      </c>
      <c r="N309">
        <f>IFERROR(VLOOKUP(B309, [5]Sheet1!A:B, 2, FALSE), "no")</f>
        <v>4</v>
      </c>
      <c r="O309">
        <f>IFERROR(VLOOKUP(C309, [4]Sheet1!A:B, 2, FALSE), "No Data")</f>
        <v>14</v>
      </c>
    </row>
    <row r="310" spans="1:15" ht="22.2" customHeight="1">
      <c r="A310" t="s">
        <v>382</v>
      </c>
      <c r="B310" t="s">
        <v>84</v>
      </c>
      <c r="C310" t="s">
        <v>83</v>
      </c>
      <c r="D310">
        <f>VLOOKUP(B310, [1]Sheet1!A:B, 2, FALSE)</f>
        <v>3</v>
      </c>
      <c r="E310">
        <f>VLOOKUP(C310, [1]Sheet1!A:B, 2, FALSE)</f>
        <v>61</v>
      </c>
      <c r="F310">
        <f>IFERROR(VLOOKUP(B310, [2]Sheet1!A:C, 2, FALSE), 0)</f>
        <v>6</v>
      </c>
      <c r="G310">
        <f>IFERROR(VLOOKUP(B310, [6]Sheet1!A:D, 3, FALSE), 0)</f>
        <v>8</v>
      </c>
      <c r="H310">
        <f>IFERROR(VLOOKUP(C310, [2]Sheet1!A:D, 3, FALSE), 0)</f>
        <v>1</v>
      </c>
      <c r="I310">
        <f>VLOOKUP(C310, [1]Sheet1!A:B, 2, FALSE)</f>
        <v>1</v>
      </c>
      <c r="M310">
        <v>1</v>
      </c>
      <c r="N310">
        <f>IFERROR(VLOOKUP(B310, [5]Sheet1!A:B, 2, FALSE), "no")</f>
        <v>1</v>
      </c>
      <c r="O310">
        <f>IFERROR(VLOOKUP(C310, [4]Sheet1!A:B, 2, FALSE), "No Data")</f>
        <v>24</v>
      </c>
    </row>
    <row r="311" spans="1:15" ht="22.2" customHeight="1">
      <c r="A311" t="s">
        <v>383</v>
      </c>
      <c r="B311" t="s">
        <v>67</v>
      </c>
      <c r="C311" t="s">
        <v>155</v>
      </c>
      <c r="D311">
        <f>VLOOKUP(B311, [1]Sheet1!A:B, 2, FALSE)</f>
        <v>24</v>
      </c>
      <c r="E311">
        <f>VLOOKUP(C311, [1]Sheet1!A:B, 2, FALSE)</f>
        <v>6</v>
      </c>
      <c r="F311">
        <f>IFERROR(VLOOKUP(B311, [2]Sheet1!A:C, 2, FALSE), 0)</f>
        <v>2</v>
      </c>
      <c r="G311">
        <f>IFERROR(VLOOKUP(B311, [6]Sheet1!A:D, 3, FALSE), 0)</f>
        <v>2</v>
      </c>
      <c r="H311">
        <f>IFERROR(VLOOKUP(C311, [2]Sheet1!A:D, 3, FALSE), 0)</f>
        <v>3</v>
      </c>
      <c r="I311">
        <f>VLOOKUP(C311, [1]Sheet1!A:B, 2, FALSE)</f>
        <v>2</v>
      </c>
      <c r="M311">
        <v>1</v>
      </c>
      <c r="N311">
        <f>IFERROR(VLOOKUP(B311, [5]Sheet1!A:B, 2, FALSE), "no")</f>
        <v>15</v>
      </c>
      <c r="O311">
        <f>IFERROR(VLOOKUP(C311, [4]Sheet1!A:B, 2, FALSE), "No Data")</f>
        <v>6</v>
      </c>
    </row>
    <row r="312" spans="1:15" ht="22.2" customHeight="1">
      <c r="A312" t="s">
        <v>384</v>
      </c>
      <c r="B312" t="s">
        <v>256</v>
      </c>
      <c r="C312" t="s">
        <v>66</v>
      </c>
      <c r="D312">
        <f>VLOOKUP(B312, [1]Sheet1!A:B, 2, FALSE)</f>
        <v>16</v>
      </c>
      <c r="E312">
        <f>VLOOKUP(C312, [1]Sheet1!A:B, 2, FALSE)</f>
        <v>12</v>
      </c>
      <c r="F312">
        <f>IFERROR(VLOOKUP(B312, [2]Sheet1!A:C, 2, FALSE), 0)</f>
        <v>3</v>
      </c>
      <c r="G312">
        <f>IFERROR(VLOOKUP(B312, [6]Sheet1!A:D, 3, FALSE), 0)</f>
        <v>4</v>
      </c>
      <c r="H312">
        <f>IFERROR(VLOOKUP(C312, [2]Sheet1!A:D, 3, FALSE), 0)</f>
        <v>6</v>
      </c>
      <c r="I312">
        <f>VLOOKUP(C312, [1]Sheet1!A:B, 2, FALSE)</f>
        <v>4</v>
      </c>
      <c r="M312">
        <v>0</v>
      </c>
      <c r="N312">
        <f>IFERROR(VLOOKUP(B312, [5]Sheet1!A:B, 2, FALSE), "no")</f>
        <v>16</v>
      </c>
      <c r="O312">
        <f>IFERROR(VLOOKUP(C312, [4]Sheet1!A:B, 2, FALSE), "No Data")</f>
        <v>9</v>
      </c>
    </row>
    <row r="313" spans="1:15" ht="22.2" customHeight="1">
      <c r="A313" t="s">
        <v>385</v>
      </c>
      <c r="B313" t="s">
        <v>11</v>
      </c>
      <c r="C313" t="s">
        <v>9</v>
      </c>
      <c r="D313">
        <f>VLOOKUP(B313, [1]Sheet1!A:B, 2, FALSE)</f>
        <v>14</v>
      </c>
      <c r="E313">
        <f>VLOOKUP(C313, [1]Sheet1!A:B, 2, FALSE)</f>
        <v>7</v>
      </c>
      <c r="F313">
        <f>IFERROR(VLOOKUP(B313, [2]Sheet1!A:C, 2, FALSE), 0)</f>
        <v>3</v>
      </c>
      <c r="G313">
        <f>IFERROR(VLOOKUP(B313, [6]Sheet1!A:D, 3, FALSE), 0)</f>
        <v>4</v>
      </c>
      <c r="H313">
        <f>IFERROR(VLOOKUP(C313, [2]Sheet1!A:D, 3, FALSE), 0)</f>
        <v>8</v>
      </c>
      <c r="I313">
        <f>VLOOKUP(C313, [1]Sheet1!A:B, 2, FALSE)</f>
        <v>6</v>
      </c>
      <c r="M313">
        <v>-1</v>
      </c>
      <c r="N313">
        <f>IFERROR(VLOOKUP(B313, [5]Sheet1!A:B, 2, FALSE), "no")</f>
        <v>10</v>
      </c>
      <c r="O313">
        <f>IFERROR(VLOOKUP(C313, [4]Sheet1!A:B, 2, FALSE), "No Data")</f>
        <v>5</v>
      </c>
    </row>
    <row r="314" spans="1:15" ht="22.2" customHeight="1">
      <c r="A314" t="s">
        <v>386</v>
      </c>
      <c r="B314" t="s">
        <v>29</v>
      </c>
      <c r="C314" t="s">
        <v>84</v>
      </c>
      <c r="D314">
        <f>VLOOKUP(B314, [1]Sheet1!A:B, 2, FALSE)</f>
        <v>2</v>
      </c>
      <c r="E314">
        <f>VLOOKUP(C314, [1]Sheet1!A:B, 2, FALSE)</f>
        <v>3</v>
      </c>
      <c r="F314">
        <f>IFERROR(VLOOKUP(B314, [2]Sheet1!A:C, 2, FALSE), 0)</f>
        <v>7</v>
      </c>
      <c r="G314">
        <f>IFERROR(VLOOKUP(B314, [6]Sheet1!A:D, 3, FALSE), 0)</f>
        <v>10</v>
      </c>
      <c r="H314">
        <f>IFERROR(VLOOKUP(C314, [2]Sheet1!A:D, 3, FALSE), 0)</f>
        <v>8</v>
      </c>
      <c r="I314">
        <f>VLOOKUP(C314, [1]Sheet1!A:B, 2, FALSE)</f>
        <v>6</v>
      </c>
      <c r="M314">
        <v>-1</v>
      </c>
      <c r="N314">
        <f>IFERROR(VLOOKUP(B314, [5]Sheet1!A:B, 2, FALSE), "no")</f>
        <v>4</v>
      </c>
      <c r="O314">
        <f>IFERROR(VLOOKUP(C314, [4]Sheet1!A:B, 2, FALSE), "No Data")</f>
        <v>1</v>
      </c>
    </row>
    <row r="315" spans="1:15" ht="22.2" customHeight="1">
      <c r="A315" t="s">
        <v>387</v>
      </c>
      <c r="B315" t="s">
        <v>67</v>
      </c>
      <c r="C315" t="s">
        <v>66</v>
      </c>
      <c r="D315">
        <f>VLOOKUP(B315, [1]Sheet1!A:B, 2, FALSE)</f>
        <v>24</v>
      </c>
      <c r="E315">
        <f>VLOOKUP(C315, [1]Sheet1!A:B, 2, FALSE)</f>
        <v>12</v>
      </c>
      <c r="F315">
        <f>IFERROR(VLOOKUP(B315, [2]Sheet1!A:C, 2, FALSE), 0)</f>
        <v>2</v>
      </c>
      <c r="G315">
        <f>IFERROR(VLOOKUP(B315, [6]Sheet1!A:D, 3, FALSE), 0)</f>
        <v>2</v>
      </c>
      <c r="H315">
        <f>IFERROR(VLOOKUP(C315, [2]Sheet1!A:D, 3, FALSE), 0)</f>
        <v>6</v>
      </c>
      <c r="I315">
        <f>VLOOKUP(C315, [1]Sheet1!A:B, 2, FALSE)</f>
        <v>4</v>
      </c>
      <c r="M315">
        <v>-1</v>
      </c>
      <c r="N315">
        <f>IFERROR(VLOOKUP(B315, [5]Sheet1!A:B, 2, FALSE), "no")</f>
        <v>15</v>
      </c>
      <c r="O315">
        <f>IFERROR(VLOOKUP(C315, [4]Sheet1!A:B, 2, FALSE), "No Data")</f>
        <v>9</v>
      </c>
    </row>
    <row r="316" spans="1:15" ht="22.2" customHeight="1">
      <c r="A316" t="s">
        <v>388</v>
      </c>
      <c r="B316" t="s">
        <v>86</v>
      </c>
      <c r="C316" t="s">
        <v>73</v>
      </c>
      <c r="D316">
        <f>VLOOKUP(B316, [1]Sheet1!A:B, 2, FALSE)</f>
        <v>70</v>
      </c>
      <c r="E316">
        <f>VLOOKUP(C316, [1]Sheet1!A:B, 2, FALSE)</f>
        <v>20</v>
      </c>
      <c r="F316">
        <f>IFERROR(VLOOKUP(B316, [2]Sheet1!A:C, 2, FALSE), 0)</f>
        <v>1</v>
      </c>
      <c r="G316">
        <f>IFERROR(VLOOKUP(B316, [6]Sheet1!A:D, 3, FALSE), 0)</f>
        <v>1</v>
      </c>
      <c r="H316">
        <f>IFERROR(VLOOKUP(C316, [2]Sheet1!A:D, 3, FALSE), 0)</f>
        <v>5</v>
      </c>
      <c r="I316">
        <f>VLOOKUP(C316, [1]Sheet1!A:B, 2, FALSE)</f>
        <v>4</v>
      </c>
      <c r="M316">
        <v>0</v>
      </c>
      <c r="N316">
        <f>IFERROR(VLOOKUP(B316, [5]Sheet1!A:B, 2, FALSE), "no")</f>
        <v>19</v>
      </c>
      <c r="O316">
        <f>IFERROR(VLOOKUP(C316, [4]Sheet1!A:B, 2, FALSE), "No Data")</f>
        <v>13</v>
      </c>
    </row>
    <row r="317" spans="1:15" ht="22.2" customHeight="1">
      <c r="A317" t="s">
        <v>389</v>
      </c>
      <c r="B317" t="s">
        <v>9</v>
      </c>
      <c r="C317" t="s">
        <v>84</v>
      </c>
      <c r="D317">
        <f>VLOOKUP(B317, [1]Sheet1!A:B, 2, FALSE)</f>
        <v>7</v>
      </c>
      <c r="E317">
        <f>VLOOKUP(C317, [1]Sheet1!A:B, 2, FALSE)</f>
        <v>3</v>
      </c>
      <c r="F317">
        <f>IFERROR(VLOOKUP(B317, [2]Sheet1!A:C, 2, FALSE), 0)</f>
        <v>6</v>
      </c>
      <c r="G317">
        <f>IFERROR(VLOOKUP(B317, [6]Sheet1!A:D, 3, FALSE), 0)</f>
        <v>8</v>
      </c>
      <c r="H317">
        <f>IFERROR(VLOOKUP(C317, [2]Sheet1!A:D, 3, FALSE), 0)</f>
        <v>8</v>
      </c>
      <c r="I317">
        <f>VLOOKUP(C317, [1]Sheet1!A:B, 2, FALSE)</f>
        <v>6</v>
      </c>
      <c r="M317">
        <v>1</v>
      </c>
      <c r="N317">
        <f>IFERROR(VLOOKUP(B317, [5]Sheet1!A:B, 2, FALSE), "no")</f>
        <v>5</v>
      </c>
      <c r="O317">
        <f>IFERROR(VLOOKUP(C317, [4]Sheet1!A:B, 2, FALSE), "No Data")</f>
        <v>1</v>
      </c>
    </row>
    <row r="318" spans="1:15" ht="22.2" customHeight="1">
      <c r="A318" t="s">
        <v>390</v>
      </c>
      <c r="B318" t="s">
        <v>73</v>
      </c>
      <c r="C318" t="s">
        <v>66</v>
      </c>
      <c r="D318">
        <f>VLOOKUP(B318, [1]Sheet1!A:B, 2, FALSE)</f>
        <v>20</v>
      </c>
      <c r="E318">
        <f>VLOOKUP(C318, [1]Sheet1!A:B, 2, FALSE)</f>
        <v>12</v>
      </c>
      <c r="F318">
        <f>IFERROR(VLOOKUP(B318, [2]Sheet1!A:C, 2, FALSE), 0)</f>
        <v>4</v>
      </c>
      <c r="G318">
        <f>IFERROR(VLOOKUP(B318, [6]Sheet1!A:D, 3, FALSE), 0)</f>
        <v>5</v>
      </c>
      <c r="H318">
        <f>IFERROR(VLOOKUP(C318, [2]Sheet1!A:D, 3, FALSE), 0)</f>
        <v>6</v>
      </c>
      <c r="I318">
        <f>VLOOKUP(C318, [1]Sheet1!A:B, 2, FALSE)</f>
        <v>4</v>
      </c>
      <c r="M318">
        <v>1</v>
      </c>
      <c r="N318">
        <f>IFERROR(VLOOKUP(B318, [5]Sheet1!A:B, 2, FALSE), "no")</f>
        <v>13</v>
      </c>
      <c r="O318">
        <f>IFERROR(VLOOKUP(C318, [4]Sheet1!A:B, 2, FALSE), "No Data")</f>
        <v>9</v>
      </c>
    </row>
    <row r="319" spans="1:15" ht="22.2" customHeight="1">
      <c r="A319" t="s">
        <v>391</v>
      </c>
      <c r="B319" t="s">
        <v>84</v>
      </c>
      <c r="C319" t="s">
        <v>66</v>
      </c>
      <c r="D319">
        <f>VLOOKUP(B319, [1]Sheet1!A:B, 2, FALSE)</f>
        <v>3</v>
      </c>
      <c r="E319">
        <f>VLOOKUP(C319, [1]Sheet1!A:B, 2, FALSE)</f>
        <v>12</v>
      </c>
      <c r="F319">
        <f>IFERROR(VLOOKUP(B319, [2]Sheet1!A:C, 2, FALSE), 0)</f>
        <v>6</v>
      </c>
      <c r="G319">
        <f>IFERROR(VLOOKUP(B319, [6]Sheet1!A:D, 3, FALSE), 0)</f>
        <v>8</v>
      </c>
      <c r="H319">
        <f>IFERROR(VLOOKUP(C319, [2]Sheet1!A:D, 3, FALSE), 0)</f>
        <v>6</v>
      </c>
      <c r="I319">
        <f>VLOOKUP(C319, [1]Sheet1!A:B, 2, FALSE)</f>
        <v>4</v>
      </c>
      <c r="M319">
        <v>1</v>
      </c>
      <c r="N319">
        <f>IFERROR(VLOOKUP(B319, [5]Sheet1!A:B, 2, FALSE), "no")</f>
        <v>1</v>
      </c>
      <c r="O319">
        <f>IFERROR(VLOOKUP(C319, [4]Sheet1!A:B, 2, FALSE), "No Data")</f>
        <v>9</v>
      </c>
    </row>
    <row r="320" spans="1:15" ht="22.2" customHeight="1">
      <c r="A320" t="s">
        <v>392</v>
      </c>
      <c r="B320" t="s">
        <v>9</v>
      </c>
      <c r="C320" t="s">
        <v>73</v>
      </c>
      <c r="D320">
        <f>VLOOKUP(B320, [1]Sheet1!A:B, 2, FALSE)</f>
        <v>7</v>
      </c>
      <c r="E320">
        <f>VLOOKUP(C320, [1]Sheet1!A:B, 2, FALSE)</f>
        <v>20</v>
      </c>
      <c r="F320">
        <f>IFERROR(VLOOKUP(B320, [2]Sheet1!A:C, 2, FALSE), 0)</f>
        <v>6</v>
      </c>
      <c r="G320">
        <f>IFERROR(VLOOKUP(B320, [6]Sheet1!A:D, 3, FALSE), 0)</f>
        <v>8</v>
      </c>
      <c r="H320">
        <f>IFERROR(VLOOKUP(C320, [2]Sheet1!A:D, 3, FALSE), 0)</f>
        <v>5</v>
      </c>
      <c r="I320">
        <f>VLOOKUP(C320, [1]Sheet1!A:B, 2, FALSE)</f>
        <v>4</v>
      </c>
      <c r="M320">
        <v>1</v>
      </c>
      <c r="N320">
        <f>IFERROR(VLOOKUP(B320, [5]Sheet1!A:B, 2, FALSE), "no")</f>
        <v>5</v>
      </c>
      <c r="O320">
        <f>IFERROR(VLOOKUP(C320, [4]Sheet1!A:B, 2, FALSE), "No Data")</f>
        <v>13</v>
      </c>
    </row>
    <row r="321" ht="22.2" customHeight="1"/>
    <row r="322" ht="22.2" customHeight="1"/>
    <row r="323" ht="22.2" customHeight="1"/>
    <row r="324" ht="22.2" customHeight="1"/>
    <row r="325" ht="22.2" customHeight="1"/>
    <row r="326" ht="22.2" customHeight="1"/>
    <row r="327" ht="22.2" customHeight="1"/>
    <row r="328" ht="22.2" customHeight="1"/>
    <row r="329" ht="22.2" customHeight="1"/>
    <row r="330" ht="22.2" customHeight="1"/>
    <row r="331" ht="22.2" customHeight="1"/>
    <row r="332" ht="22.2" customHeight="1"/>
    <row r="333" ht="22.2" customHeight="1"/>
    <row r="334" ht="22.2" customHeight="1"/>
    <row r="335" ht="22.2" customHeight="1"/>
    <row r="336" ht="22.2" customHeight="1"/>
    <row r="337" ht="22.2" customHeight="1"/>
    <row r="338" ht="22.2" customHeight="1"/>
    <row r="339" ht="22.2" customHeight="1"/>
    <row r="340" ht="22.2" customHeight="1"/>
    <row r="341" ht="22.2" customHeight="1"/>
    <row r="342" ht="22.2" customHeight="1"/>
    <row r="343" ht="22.2" customHeight="1"/>
    <row r="344" ht="22.2" customHeight="1"/>
    <row r="345" ht="22.2" customHeight="1"/>
    <row r="346" ht="22.2" customHeight="1"/>
    <row r="347" ht="22.2" customHeight="1"/>
    <row r="348" ht="22.2" customHeight="1"/>
    <row r="349" ht="22.2" customHeight="1"/>
    <row r="350" ht="22.2" customHeight="1"/>
    <row r="351" ht="22.2" customHeight="1"/>
    <row r="352" ht="22.2" customHeight="1"/>
    <row r="353" ht="22.2" customHeight="1"/>
    <row r="354" ht="22.2" customHeight="1"/>
    <row r="355" ht="22.2" customHeight="1"/>
    <row r="356" ht="22.2" customHeight="1"/>
    <row r="357" ht="22.2" customHeight="1"/>
    <row r="358" ht="22.2" customHeight="1"/>
    <row r="359" ht="22.2" customHeight="1"/>
    <row r="360" ht="22.2" customHeight="1"/>
    <row r="361" ht="22.2" customHeight="1"/>
    <row r="362" ht="22.2" customHeight="1"/>
    <row r="363" ht="22.2" customHeight="1"/>
    <row r="364" ht="22.2" customHeight="1"/>
    <row r="365" ht="22.2" customHeight="1"/>
    <row r="366" ht="22.2" customHeight="1"/>
    <row r="367" ht="22.2" customHeight="1"/>
    <row r="368" ht="22.2" customHeight="1"/>
    <row r="369" ht="22.2" customHeight="1"/>
    <row r="370" ht="22.2" customHeight="1"/>
    <row r="371" ht="22.2" customHeight="1"/>
    <row r="372" ht="22.2" customHeight="1"/>
    <row r="373" ht="22.2" customHeight="1"/>
    <row r="374" ht="22.2" customHeight="1"/>
    <row r="375" ht="22.2" customHeight="1"/>
    <row r="376" ht="22.2" customHeight="1"/>
    <row r="377" ht="22.2" customHeight="1"/>
    <row r="378" ht="22.2" customHeight="1"/>
    <row r="379" ht="22.2" customHeight="1"/>
    <row r="380" ht="22.2" customHeight="1"/>
    <row r="381" ht="22.2" customHeight="1"/>
    <row r="382" ht="22.2" customHeight="1"/>
    <row r="383" ht="22.2" customHeight="1"/>
    <row r="384" ht="22.2" customHeight="1"/>
    <row r="385" ht="22.2" customHeight="1"/>
    <row r="386" ht="22.2" customHeight="1"/>
    <row r="387" ht="22.2" customHeight="1"/>
    <row r="388" ht="22.2" customHeight="1"/>
    <row r="389" ht="22.2" customHeight="1"/>
    <row r="390" ht="22.2" customHeight="1"/>
    <row r="391" ht="22.2" customHeight="1"/>
    <row r="392" ht="22.2" customHeight="1"/>
    <row r="393" ht="22.2" customHeight="1"/>
    <row r="394" ht="22.2" customHeight="1"/>
    <row r="395" ht="22.2" customHeight="1"/>
    <row r="396" ht="22.2" customHeight="1"/>
    <row r="397" ht="22.2" customHeight="1"/>
    <row r="398" ht="22.2" customHeight="1"/>
    <row r="399" ht="22.2" customHeight="1"/>
    <row r="400" ht="22.2" customHeight="1"/>
    <row r="401" ht="22.2" customHeight="1"/>
    <row r="402" ht="22.2" customHeight="1"/>
    <row r="403" ht="22.2" customHeight="1"/>
    <row r="404" ht="22.2" customHeight="1"/>
    <row r="405" ht="22.2" customHeight="1"/>
    <row r="406" ht="22.2" customHeight="1"/>
    <row r="407" ht="22.2" customHeight="1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kalindu gavesh</dc:creator>
  <cp:lastModifiedBy>kalindu gavesh</cp:lastModifiedBy>
  <dcterms:created xsi:type="dcterms:W3CDTF">2026-01-05T11:23:34Z</dcterms:created>
  <dcterms:modified xsi:type="dcterms:W3CDTF">2026-01-13T08:01:15Z</dcterms:modified>
</cp:coreProperties>
</file>